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0a6121f1f3c4f1d" /></Relationships>
</file>

<file path=xl/workbook.xml><?xml version="1.0" encoding="utf-8"?>
<x:workbook xmlns:x="http://schemas.openxmlformats.org/spreadsheetml/2006/main">
  <x:sheets>
    <x:sheet xmlns:r="http://schemas.openxmlformats.org/officeDocument/2006/relationships" name="Master Tasks" sheetId="1" r:id="Rb6c9981a633847d9"/>
    <x:sheet xmlns:r="http://schemas.openxmlformats.org/officeDocument/2006/relationships" name="Dashboard" sheetId="2" r:id="R2c17590459f445c6"/>
    <x:sheet xmlns:r="http://schemas.openxmlformats.org/officeDocument/2006/relationships" name="Website Pages" sheetId="3" r:id="R33b63fad00dd464f"/>
    <x:sheet xmlns:r="http://schemas.openxmlformats.org/officeDocument/2006/relationships" name="CMS Admin" sheetId="4" r:id="R1544a26a45b44943"/>
  </x:sheets>
</x:workbook>
</file>

<file path=xl/comments1.xml><?xml version="1.0" encoding="utf-8"?>
<x:comments xmlns:x="http://schemas.openxmlformats.org/spreadsheetml/2006/main">
  <x:authors>
    <x:author>Unknown</x:author>
  </x:authors>
  <x:commentList>
    <x:comment ref="M109" authorId="0">
      <x:text>
        <x:r>
          <x:t>Completed: 2026-08-17 07:05:29 IST
Owner: Codex
PR (merged): https://github.com/MahammadWahab540/pathwisseclarity/pull/16
Merge commit: https://github.com/MahammadWahab540/pathwisseclarity/commit/8925f2a8b61088eb45a46c193535c7d290cdb543
Checks: https://github.com/MahammadWahab540/pathwisseclarity/actions/runs/31985342937
Evidence: visible accessible breadcrumbs and matching canonical BreadcrumbList JSON-LD cover all 14 current public routes. CI rejects missing, private, cyclic, or non-existent paths. All required checks passed.</x:t>
        </x:r>
      </x:text>
    </x:comment>
    <x:comment ref="L43" authorId="0">
      <x:text>
        <x:r>
          <x:t>Completed 2026-08-17 00:06 IST by Codex. Added a responsive accessible /blog index linked from desktop/mobile navigation and footer. Created a structured JSON content model editable without template changes. Published-only filtering excludes drafts from UI, indexation and sitemap; published post routes are automatically appended to the XML sitemap. The initial editorial fixture remains draft to avoid publishing thin content. CI validates unique records/slugs, required fields, draft safety, route wiring, sitemap generation, build and HTTP responses. PR: https://github.com/MahammadWahab540/pathwisseclarity/pull/9 | Checks: https://github.com/MahammadWahab540/pathwisseclarity/actions/runs/31965050046 | Merge commit: https://github.com/MahammadWahab540/pathwisseclarity/commit/ae9f0d0eb4dadf97111515551e7bd2ae011f24db</x:t>
        </x:r>
      </x:text>
    </x:comment>
    <x:comment ref="L41" authorId="0">
      <x:text>
        <x:r>
          <x:t>Completed 2026-08-17 13:17:39 IST. PR #22 merged: https://github.com/MahammadWahab540/pathwisseclarity/pull/22 | CI Build #49 passed: https://github.com/MahammadWahab540/pathwisseclarity/actions/runs/32007280114 | Merge commit: https://github.com/MahammadWahab540/pathwisseclarity/commit/4b290911d1d25641d44ccbf907b03fbf2e4343c0 | Acceptance verified: degree-specific B.Tech CSE pilot, specialization-aware role reasoning, coding/lower-code paths, skill gaps, decision criteria, roadmap links, FAQs, assessment CTA, and canonical career routes. Automated guide, sitemap, breadcrumb, internal-link, project and skill checks passed.</x:t>
        </x:r>
      </x:text>
    </x:comment>
    <x:comment ref="L40" authorId="0">
      <x:text>
        <x:r>
          <x:t>Completed 2026-08-17 12:15:38 IST by Codex.
Evidence:
- PR #21 (merged): https://github.com/MahammadWahab540/pathwisseclarity/pull/21
- CI Build run #47 (passed): https://github.com/MahammadWahab540/pathwisseclarity/actions/runs/32002856823
- Squash merge: https://github.com/MahammadWahab540/pathwisseclarity/commit/853542892eec9fdc2f0a6fb8dbfd4db87cd5012e
Acceptance verified: public project library and executable SQL checkout-funnel pilot; dataset specification, learning objectives, prerequisites, suggested stack, five milestones, deliverables, 100-point evaluation rubric, portfolio tips and interview talking points; clear Pathwisse roadmap CTA; verified published skill and career-system links; canonical metadata, indexation, breadcrumbs and sitemap pass; link audit reports 0 broken links and 0 public orphans; full production build passes.</x:t>
        </x:r>
      </x:text>
    </x:comment>
    <x:comment ref="M41" authorId="0">
      <x:text>
        <x:r>
          <x:t>Owner: Codex | Completed 2026-08-17 13:17:39 IST</x:t>
        </x:r>
      </x:text>
    </x:comment>
    <x:comment ref="L7" authorId="0">
      <x:text>
        <x:r>
          <x:t>Blocked 2026-08-17 14:06:37 IST. Dependencies PW-001 and PW-002 are complete, but acceptance requires every change to produce a real preview URL plus a named production deployment owner and rollback path. The repository currently has no authorized preview deployment target, and this run is not authorized to configure Cloudflare/external production services or credentials. Required unblock: approve/select the preview provider and production deployment owner, then provide or authorize the connected deployment integration. No code or infrastructure change was made; task is not complete.</x:t>
        </x:r>
      </x:text>
    </x:comment>
    <x:comment ref="M40" authorId="0">
      <x:text>
        <x:r>
          <x:t>Owner: Codex
Hourly completion timestamp: 2026-08-17 12:15:38 IST</x:t>
        </x:r>
      </x:text>
    </x:comment>
    <x:comment ref="M7" authorId="0">
      <x:text>
        <x:r>
          <x:t>Owner: Codex | Blocked assessment recorded 2026-08-17 14:06:37 IST</x:t>
        </x:r>
      </x:text>
    </x:comment>
    <x:comment ref="L6" authorId="0">
      <x:text>
        <x:r>
          <x:t>Completed 2026-08-16, 18:07 IST. Created immutable rollback pointer baseline/production-2026-08-16 at known-good commit a8b16deaab374647e040b003b1d4105aa8e74a94; documented public routes, required environment variable names, build/output configuration, and PR-based rollback steps; stored production homepage visual evidence; PR #3 merged after Build run 31947446491 passed. Evidence: https://github.com/MahammadWahab540/pathwisseclarity/pull/3 and https://github.com/MahammadWahab540/pathwisseclarity/actions/runs/31947446491</x:t>
        </x:r>
      </x:text>
    </x:comment>
    <x:comment ref="L38" authorId="0">
      <x:text>
        <x:r>
          <x:t>Completed 2026-08-17 11:11:00 IST by Codex.
Evidence:
- PR #20 (merged): https://github.com/MahammadWahab540/pathwisseclarity/pull/20
- CI Build run #45 (passed): https://github.com/MahammadWahab540/pathwisseclarity/actions/runs/31998665242
- Squash merge: https://github.com/MahammadWahab540/pathwisseclarity/commit/9db10ddb33976b600dc3950768019ff3fc66aa75
Acceptance verified: reusable data-driven skill template and index; materially specific SQL pilot with prerequisites, career relationships, six-step sequence, two portfolio projects, interview relevance, related skills and learning CTA; canonical metadata, indexation, breadcrumbs and sitemap pass; internal-link audit reports 0 broken links and 0 public orphans; full production build passes.</x:t>
        </x:r>
      </x:text>
    </x:comment>
    <x:comment ref="L5" authorId="0">
      <x:text>
        <x:r>
          <x:t>Completed 2026-08-16, 12:11 IST. Repository access and push permissions confirmed; main documented as default/production branch; environment file removed from current tree and ignored; .env.example added; clean checkout/build passed in GitHub Actions. Evidence: PR #1, PR #2, Actions run 31932005531.</x:t>
        </x:r>
      </x:text>
    </x:comment>
    <x:comment ref="M38" authorId="0">
      <x:text>
        <x:r>
          <x:t>Owner: Codex
Hourly completion timestamp: 2026-08-17 11:11:00 IST</x:t>
        </x:r>
      </x:text>
    </x:comment>
    <x:comment ref="M102" authorId="0">
      <x:text>
        <x:r>
          <x:t>Completed: 2026-08-17 06:09:34 IST
Owner: Codex
PR (merged): https://github.com/MahammadWahab540/pathwisseclarity/pull/15
Merge commit: https://github.com/MahammadWahab540/pathwisseclarity/commit/2d123cbb39874f2e136bac380368e1020cd0a59b
Checks: https://github.com/MahammadWahab540/pathwisseclarity/actions/runs/31982593033
Evidence: public /methodology page; reusable Sources &amp; methodology and inline citation components; CI gates for visible research sources, consequential-claim citations, unsafe URLs, and broken source links. All required checks passed.</x:t>
        </x:r>
      </x:text>
    </x:comment>
    <x:comment ref="L35" authorId="0">
      <x:text>
        <x:r>
          <x:t>Completed 2026-08-16 23:04 IST by Codex. Normalized all 12 career entities queued in PW-071–PW-082, including the five P0 roles. Defined unique canonical names/slugs, 16 alias mappings, seniority variants, categories, related roles, page decisions, tracker priority and planned publication state. Aliases are assigned one canonical owner and will 301 only after page publication; planned records remain outside routes and sitemap. CI now fails duplicate IDs, display names, canonical slugs, aliases, invalid relationships or undocumented paths. PR: https://github.com/MahammadWahab540/pathwisseclarity/pull/8 | Checks: https://github.com/MahammadWahab540/pathwisseclarity/actions/runs/31961932811 | Merge commit: https://github.com/MahammadWahab540/pathwisseclarity/commit/ddfc280f3e9893eaa9f9c2a2fced48f8f323d1d3</x:t>
        </x:r>
      </x:text>
    </x:comment>
    <x:comment ref="L34" authorId="0">
      <x:text>
        <x:r>
          <x:t>Completed 2026-08-16 22:09 IST by Codex. Defined the canonical https://pathwisse.com URL taxonomy for 10 public content namespaces: careers, roadmaps, skills, blog, compare, projects, tools, salary, career-guides and colleges. Added hub/detail hierarchies, slug stability and reserved-slug rules, comparison pair ordering, alias/301/query/draft handling, intent ownership and collision/cannibalization policy. Added machine-readable configuration and CI validation for 22 canonical patterns. PR: https://github.com/MahammadWahab540/pathwisseclarity/pull/7 | Checks: https://github.com/MahammadWahab540/pathwisseclarity/actions/runs/31959178860 | Merge commit: https://github.com/MahammadWahab540/pathwisseclarity/commit/5872ceb7ce23ff87d3f8670aa04c21eb4918cbf7</x:t>
        </x:r>
      </x:text>
    </x:comment>
    <x:comment ref="M28" authorId="0">
      <x:text>
        <x:r>
          <x:t>Completed: 2026-08-17 08:11:12 IST
Owner: Codex
PR (merged): https://github.com/MahammadWahab540/pathwisseclarity/pull/17
Merge commit: https://github.com/MahammadWahab540/pathwisseclarity/commit/b2cc2acefd010749863f1e795573d969d7d944b8
Checks: https://github.com/MahammadWahab540/pathwisseclarity/actions/runs/31988681493
Evidence: deterministic report checks 44 internal links, 17 registered routes, 15 public routes, contextual inbound coverage for priority pages, and direct-200 preview responses. Result: 0 broken links, 0 redirect-style links, 0 public orphans.</x:t>
        </x:r>
      </x:text>
    </x:comment>
    <x:comment ref="L22" authorId="0">
      <x:text>
        <x:r>
          <x:t>Completed 2026-08-16 21:08 IST by Codex. Added build-generated XML sitemap sourced from the approved public indexation policy. It currently emits 13 unique canonical https://pathwisse.com URLs; excludes login, OAuth, unknown/noindex, query, redirect and unpublished routes; and intentionally omits lastmod until meaningful dates exist. CI verified XML structure, application/xml response, and HTTP 200 for every listed route. PR: https://github.com/MahammadWahab540/pathwisseclarity/pull/6 | Checks: https://github.com/MahammadWahab540/pathwisseclarity/actions/runs/31956191474 | Merge commit: https://github.com/MahammadWahab540/pathwisseclarity/commit/693df626e80544427fdd6284e31cc28f36ec2a99</x:t>
        </x:r>
      </x:text>
    </x:comment>
    <x:comment ref="L21" authorId="0">
      <x:text>
        <x:r>
          <x:t>Completed 2026-08-16 20:09 IST by Codex. Implemented environment-aware robots generation: production allows public crawling, disallows /login and /.lovable/oauth/consent, and advertises https://pathwisse.com/sitemap.xml; non-production fails closed with Disallow: /. CI validates both modes and verifies /robots.txt responds HTTP 200 with text/plain. PR: https://github.com/MahammadWahab540/pathwisseclarity/pull/5 | Checks: https://github.com/MahammadWahab540/pathwisseclarity/actions/runs/31953316619 | Merge commit: https://github.com/MahammadWahab540/pathwisseclarity/commit/e7a512ecbb4ea6a442b34f71959704e243f5a05f</x:t>
        </x:r>
      </x:text>
    </x:comment>
    <x:comment ref="L20" authorId="0">
      <x:text>
        <x:r>
          <x:t>Completed 2026-08-16, 19:05 IST. Classified all 15 registered routes: 13 public indexable routes and 2 local utility/auth routes as noindex; unknown/404 routes default to noindex. Added SPA robots/googlebot meta management, static X-Robots-Tag rules, route inventory documentation, and a deterministic CI guard that fails on unclassified routes. PR #4 merged after Build run 31950241411 passed. Evidence: https://github.com/MahammadWahab540/pathwisseclarity/pull/4 and https://github.com/MahammadWahab540/pathwisseclarity/actions/runs/31950241411</x:t>
        </x:r>
      </x:text>
    </x:comment>
    <x:comment ref="L48" authorId="0">
      <x:text>
        <x:r>
          <x:t>Completed 2026-08-17 10:07:22 IST by Codex.
Evidence:
- PR #19 (merged): https://github.com/MahammadWahab540/pathwisseclarity/pull/19
- CI Build run #43 (passed): https://github.com/MahammadWahab540/pathwisseclarity/actions/runs/31995025691
- Squash merge: https://github.com/MahammadWahab540/pathwisseclarity/commit/f9b34bff2fa2e7b7add22ac11a16d634d530c465
Acceptance verified: the 13-stage workflow is defined in the requested order; all stages have status and ownership; completed stages require dated evidence; blocked stages require a reason; CI rejects Published status when any required pre-publish gate is incomplete or blocked; the pilot article exposes matching workflow status and owner in its content record.</x:t>
        </x:r>
      </x:text>
    </x:comment>
    <x:comment ref="L47" authorId="0">
      <x:text>
        <x:r>
          <x:t>Completed 2026-08-17 09:07:22 IST by Codex.
Evidence:
- PR #18 (merged): https://github.com/MahammadWahab540/pathwisseclarity/pull/18
- CI Build run #41 (passed): https://github.com/MahammadWahab540/pathwisseclarity/actions/runs/31991666334
- Squash merge: https://github.com/MahammadWahab540/pathwisseclarity/commit/2a81b1375e50e056254208778e7d4a591a1a0341
Acceptance verified: 10 weighted criteria with explicit anchors; 80/100 plus per-criterion minimums and blocking penalties required to publish; below-threshold pilot is rejected/rebuild; generic AI filler deducts points and blocks publication at three occurrences; word count is explicitly not a quality target.</x:t>
        </x:r>
      </x:text>
    </x:comment>
    <x:comment ref="M48" authorId="0">
      <x:text>
        <x:r>
          <x:t>Owner: Codex
Hourly completion timestamp: 2026-08-17 10:07:22 IST</x:t>
        </x:r>
      </x:text>
    </x:comment>
    <x:comment ref="M47" authorId="0">
      <x:text>
        <x:r>
          <x:t>Owner: Codex
Hourly completion timestamp: 2026-08-17 09:07:22 IST</x:t>
        </x:r>
      </x:text>
    </x:comment>
  </x:commentList>
</x:comments>
</file>

<file path=xl/sharedStrings.xml><?xml version="1.0" encoding="utf-8"?>
<x:sst xmlns:x="http://schemas.openxmlformats.org/spreadsheetml/2006/main">
  <x:si>
    <x:t xml:space="preserve">Pathwisse Website + SEO + AI Discovery Master Execution Tracker</x:t>
  </x:si>
  <x:si>
    <x:t xml:space="preserve">Task ID</x:t>
  </x:si>
  <x:si>
    <x:t xml:space="preserve">Objective</x:t>
  </x:si>
  <x:si>
    <x:t xml:space="preserve">Workstream</x:t>
  </x:si>
  <x:si>
    <x:t xml:space="preserve">Task</x:t>
  </x:si>
  <x:si>
    <x:t xml:space="preserve">Outcome / Why</x:t>
  </x:si>
  <x:si>
    <x:t xml:space="preserve">Implementation Context / Steps</x:t>
  </x:si>
  <x:si>
    <x:t xml:space="preserve">Definition of Done / Acceptance Criteria</x:t>
  </x:si>
  <x:si>
    <x:t xml:space="preserve">Priority</x:t>
  </x:si>
  <x:si>
    <x:t xml:space="preserve">Phase</x:t>
  </x:si>
  <x:si>
    <x:t xml:space="preserve">Effort</x:t>
  </x:si>
  <x:si>
    <x:t xml:space="preserve">Dependencies</x:t>
  </x:si>
  <x:si>
    <x:t xml:space="preserve">Status</x:t>
  </x:si>
  <x:si>
    <x:t xml:space="preserve">Owner</x:t>
  </x:si>
  <x:si>
    <x:t xml:space="preserve">Success Metric / KPI</x:t>
  </x:si>
  <x:si>
    <x:t xml:space="preserve">Target Page / Route</x:t>
  </x:si>
  <x:si>
    <x:t xml:space="preserve">Agent Execution Guardrails</x:t>
  </x:si>
  <x:si>
    <x:t xml:space="preserve">PW-001</x:t>
  </x:si>
  <x:si>
    <x:t xml:space="preserve">Foundation</x:t>
  </x:si>
  <x:si>
    <x:t xml:space="preserve">Repo &amp; Release</x:t>
  </x:si>
  <x:si>
    <x:t xml:space="preserve">Restore/confirm pathwisseclarity repository access</x:t>
  </x:si>
  <x:si>
    <x:t xml:space="preserve">Create a reliable source-of-truth for all public website/SEO work.</x:t>
  </x:si>
  <x:si>
    <x:t xml:space="preserve">Confirm the correct GitHub owner/repo, grant the working GitHub connection read/write access if private, identify default branch, production branch, build command and deployment branch. Record repo URL and branch policy in project notes.</x:t>
  </x:si>
  <x:si>
    <x:t xml:space="preserve">Repo is accessible to the delivery team/agents; default and production branches are documented; a clean clone/build succeeds; no secrets are committed.</x:t>
  </x:si>
  <x:si>
    <x:t xml:space="preserve">P0</x:t>
  </x:si>
  <x:si>
    <x:t xml:space="preserve">Phase 1</x:t>
  </x:si>
  <x:si>
    <x:t xml:space="preserve">S</x:t>
  </x:si>
  <x:si>
    <x:t xml:space="preserve">Done</x:t>
  </x:si>
  <x:si>
    <x:t xml:space="preserve">Codex</x:t>
  </x:si>
  <x:si>
    <x:t xml:space="preserve">Repository accessible + successful build</x:t>
  </x:si>
  <x:si>
    <x:t xml:space="preserve">Inspect repo first. Do not change production code until build and branch conventions are confirmed.</x:t>
  </x:si>
  <x:si>
    <x:t xml:space="preserve">PW-002</x:t>
  </x:si>
  <x:si>
    <x:t xml:space="preserve">Create production baseline and rollback tag</x:t>
  </x:si>
  <x:si>
    <x:t xml:space="preserve">Make every SEO/frontend change reversible.</x:t>
  </x:si>
  <x:si>
    <x:t xml:space="preserve">Before infrastructure or routing changes, record current production commit SHA, current public routes, environment variables required, and create a tagged release/baseline branch. Capture current homepage and key-page screenshots.</x:t>
  </x:si>
  <x:si>
    <x:t xml:space="preserve">A known-good commit/tag exists; rollback instructions are documented and tested in preview; screenshots are stored for before/after QA.</x:t>
  </x:si>
  <x:si>
    <x:t xml:space="preserve">Rollback can be completed from documented baseline</x:t>
  </x:si>
  <x:si>
    <x:t xml:space="preserve">Preserve existing behavior; this task is protection against SEO/deployment regressions.</x:t>
  </x:si>
  <x:si>
    <x:t xml:space="preserve">PW-003</x:t>
  </x:si>
  <x:si>
    <x:t xml:space="preserve">Define SEO/frontend release workflow</x:t>
  </x:si>
  <x:si>
    <x:t xml:space="preserve">Prevent content/SEO changes from breaking production.</x:t>
  </x:si>
  <x:si>
    <x:t xml:space="preserve">Create branch naming, PR checklist, preview deployment requirement, Lighthouse check, metadata/schema check and approval gate. Define what can ship independently from the app backend.</x:t>
  </x:si>
  <x:si>
    <x:t xml:space="preserve">Every change can produce a preview URL; PR checklist includes SEO, accessibility, analytics and responsive checks; production deployment has an owner and rollback path.</x:t>
  </x:si>
  <x:si>
    <x:t xml:space="preserve">M</x:t>
  </x:si>
  <x:si>
    <x:t xml:space="preserve">PW-001,PW-002</x:t>
  </x:si>
  <x:si>
    <x:t xml:space="preserve">Blocked</x:t>
  </x:si>
  <x:si>
    <x:t xml:space="preserve">100% public-site PRs use preview + checklist</x:t>
  </x:si>
  <x:si>
    <x:t xml:space="preserve">Implement lightweight gates, not bureaucracy. Optimize for frequent safe shipping.</x:t>
  </x:si>
  <x:si>
    <x:t xml:space="preserve">PW-004</x:t>
  </x:si>
  <x:si>
    <x:t xml:space="preserve">Cloudflare</x:t>
  </x:si>
  <x:si>
    <x:t xml:space="preserve">Deploy public frontend on Cloudflare</x:t>
  </x:si>
  <x:si>
    <x:t xml:space="preserve">Serve public acquisition pages from a fast global edge while keeping application services intact.</x:t>
  </x:si>
  <x:si>
    <x:t xml:space="preserve">Connect repository to Cloudflare Pages/Workers Static Assets as appropriate for the current Vite architecture. Configure build command/output directory, preview deployments, production branch and SPA/route handling. Keep Supabase/Railway APIs external unless a deliberate migration is approved.</x:t>
  </x:si>
  <x:si>
    <x:t xml:space="preserve">Production build deploys successfully; direct navigation to public routes works; assets load without mixed-content/CORS issues; preview deployments work; rollback is documented.</x:t>
  </x:si>
  <x:si>
    <x:t xml:space="preserve">L</x:t>
  </x:si>
  <x:si>
    <x:t xml:space="preserve">Backlog</x:t>
  </x:si>
  <x:si>
    <x:t xml:space="preserve">Successful production deploy; 0 broken routes</x:t>
  </x:si>
  <x:si>
    <x:t xml:space="preserve">Do not migrate Supabase or Railway just to satisfy this task. Scope is frontend hosting and routing.</x:t>
  </x:si>
  <x:si>
    <x:t xml:space="preserve">PW-005</x:t>
  </x:si>
  <x:si>
    <x:t xml:space="preserve">Configure DNS, HTTPS and canonical host</x:t>
  </x:si>
  <x:si>
    <x:t xml:space="preserve">PW-006</x:t>
  </x:si>
  <x:si>
    <x:t xml:space="preserve">Configure production and preview environment variables</x:t>
  </x:si>
  <x:si>
    <x:t xml:space="preserve">Avoid broken builds and accidental secret exposure.</x:t>
  </x:si>
  <x:si>
    <x:t xml:space="preserve">Inventory Vite/public variables versus server-only secrets. Configure production/preview values in Cloudflare. Ensure no secret is exposed via VITE_* or bundled into client JavaScript. Document required variables.</x:t>
  </x:si>
  <x:si>
    <x:t xml:space="preserve">Production and preview builds work; secret scan shows no private keys/tokens in browser bundle; variable inventory is documented.</x:t>
  </x:si>
  <x:si>
    <x:t xml:space="preserve">0 client-exposed secrets</x:t>
  </x:si>
  <x:si>
    <x:t xml:space="preserve">Treat all VITE_* values as public.</x:t>
  </x:si>
  <x:si>
    <x:t xml:space="preserve">PW-007</x:t>
  </x:si>
  <x:si>
    <x:t xml:space="preserve">Configure caching and asset headers</x:t>
  </x:si>
  <x:si>
    <x:t xml:space="preserve">Improve speed without serving stale HTML or breaking auth/API behavior.</x:t>
  </x:si>
  <x:si>
    <x:t xml:space="preserve">Set long immutable cache headers for fingerprinted JS/CSS/images/fonts; use conservative caching for HTML; bypass caching for authenticated/application APIs. Validate cache keys and purge workflow.</x:t>
  </x:si>
  <x:si>
    <x:t xml:space="preserve">Static fingerprinted assets receive long cache TTL; HTML updates after deployment; no authenticated response is cached; cache purge/rollback is tested.</x:t>
  </x:si>
  <x:si>
    <x:t xml:space="preserve">P1</x:t>
  </x:si>
  <x:si>
    <x:t xml:space="preserve">Improved cache-hit ratio; no stale release issues</x:t>
  </x:si>
  <x:si>
    <x:t xml:space="preserve">Never cache personalized/authenticated API responses at the edge.</x:t>
  </x:si>
  <x:si>
    <x:t xml:space="preserve">PW-008</x:t>
  </x:si>
  <x:si>
    <x:t xml:space="preserve">Security</x:t>
  </x:si>
  <x:si>
    <x:t xml:space="preserve">Harden public website security headers</x:t>
  </x:si>
  <x:si>
    <x:t xml:space="preserve">Reduce common browser-side security risks without breaking analytics or embeds.</x:t>
  </x:si>
  <x:si>
    <x:t xml:space="preserve">Add CSP in report-only first, then enforce after observing violations. Add HSTS after HTTPS stability, X-Content-Type-Options, Referrer-Policy and Permissions-Policy. Inventory third-party domains before CSP enforcement.</x:t>
  </x:si>
  <x:si>
    <x:t xml:space="preserve">Security headers are visible on production responses; CSP has no critical violations for required services; auth/payment flows remain functional.</x:t>
  </x:si>
  <x:si>
    <x:t xml:space="preserve">0 critical CSP breakages</x:t>
  </x:si>
  <x:si>
    <x:t xml:space="preserve">Roll CSP gradually. Razorpay, Supabase, analytics and embedded media may require explicit allowlists.</x:t>
  </x:si>
  <x:si>
    <x:t xml:space="preserve">PW-009</x:t>
  </x:si>
  <x:si>
    <x:t xml:space="preserve">Add Cloudflare Turnstile to abuse-prone public forms</x:t>
  </x:si>
  <x:si>
    <x:t xml:space="preserve">Reduce bot spam on lead, webinar and other public forms.</x:t>
  </x:si>
  <x:si>
    <x:t xml:space="preserve">Identify unauthenticated forms with spam/abuse risk. Add Turnstile client widget/token and server-side verification before processing. Define graceful error states and accessibility fallback.</x:t>
  </x:si>
  <x:si>
    <x:t xml:space="preserve">Bot verification is enforced server-side; valid users can submit; failed/expired tokens are rejected; analytics tracks verification failures.</x:t>
  </x:si>
  <x:si>
    <x:t xml:space="preserve">Spam rate reduction; valid-submit success rate</x:t>
  </x:si>
  <x:si>
    <x:t xml:space="preserve">Do not rely on client-side verification alone.</x:t>
  </x:si>
  <x:si>
    <x:t xml:space="preserve">PW-010</x:t>
  </x:si>
  <x:si>
    <x:t xml:space="preserve">Measurement</x:t>
  </x:si>
  <x:si>
    <x:t xml:space="preserve">Analytics</x:t>
  </x:si>
  <x:si>
    <x:t xml:space="preserve">Install and validate Google Analytics 4</x:t>
  </x:si>
  <x:si>
    <x:t xml:space="preserve">Measure acquisition and conversion from public pages.</x:t>
  </x:si>
  <x:si>
    <x:t xml:space="preserve">Implement GA4 through a single analytics abstraction. Track page_view on client-side route changes. Define production-only measurement and exclude internal/dev traffic where practical.</x:t>
  </x:si>
  <x:si>
    <x:t xml:space="preserve">GA4 receives real production page views with correct page_path/title; SPA navigation is tracked once per route; preview/dev traffic is separated.</x:t>
  </x:si>
  <x:si>
    <x:t xml:space="preserve">GA4 page views match expected navigation</x:t>
  </x:si>
  <x:si>
    <x:t xml:space="preserve">Avoid duplicate page_view events from router + auto pageview.</x:t>
  </x:si>
  <x:si>
    <x:t xml:space="preserve">PW-011</x:t>
  </x:si>
  <x:si>
    <x:t xml:space="preserve">Search Console</x:t>
  </x:si>
  <x:si>
    <x:t xml:space="preserve">Verify domain in Google Search Console</x:t>
  </x:si>
  <x:si>
    <x:t xml:space="preserve">Get authoritative crawl, index and query data.</x:t>
  </x:si>
  <x:si>
    <x:t xml:space="preserve">Verify the domain property through DNS, submit canonical sitemap(s), inspect homepage and core public routes, and document owners. Record any existing manual actions/security issues.</x:t>
  </x:si>
  <x:si>
    <x:t xml:space="preserve">Domain property is verified; sitemap submitted; core pages can be URL-inspected; ownership is not tied to one person.</x:t>
  </x:si>
  <x:si>
    <x:t xml:space="preserve">GSC verified + sitemap accepted</x:t>
  </x:si>
  <x:si>
    <x:t xml:space="preserve">Use domain property so all protocols/subdomains are covered.</x:t>
  </x:si>
  <x:si>
    <x:t xml:space="preserve">PW-012</x:t>
  </x:si>
  <x:si>
    <x:t xml:space="preserve">Product Analytics</x:t>
  </x:si>
  <x:si>
    <x:t xml:space="preserve">Instrument PostHog for SEO-to-product funnel</x:t>
  </x:si>
  <x:si>
    <x:t xml:space="preserve">Connect content discovery to meaningful product behavior.</x:t>
  </x:si>
  <x:si>
    <x:t xml:space="preserve">Track CTA click, assessment_start, assessment_complete, signup_start, signup_complete, roadmap_start, checkout_start and payment_success. Include source page, content type, campaign and referrer as properties.</x:t>
  </x:si>
  <x:si>
    <x:t xml:space="preserve">Events fire once with documented schemas; a test journey can be followed from landing page through signup/roadmap; PII is not sent unnecessarily.</x:t>
  </x:si>
  <x:si>
    <x:t xml:space="preserve">Landing→signup and landing→roadmap funnels available</x:t>
  </x:si>
  <x:si>
    <x:t xml:space="preserve">Do not send passwords, OTPs, access tokens or raw sensitive profile data.</x:t>
  </x:si>
  <x:si>
    <x:t xml:space="preserve">PW-013</x:t>
  </x:si>
  <x:si>
    <x:t xml:space="preserve">Create standard UTM and attribution rules</x:t>
  </x:si>
  <x:si>
    <x:t xml:space="preserve">Keep campaign/reporting data consistent across social, email and partnerships.</x:t>
  </x:si>
  <x:si>
    <x:t xml:space="preserve">Define lowercase utm_source/medium/campaign/content conventions. Persist first-touch and last-touch values through signup when technically feasible. Document organic/AI referral handling.</x:t>
  </x:si>
  <x:si>
    <x:t xml:space="preserve">Campaign links follow one convention; signup records/analytics can attribute first and last touch; no explosion of duplicate campaign names.</x:t>
  </x:si>
  <x:si>
    <x:t xml:space="preserve">PW-010,PW-012</x:t>
  </x:si>
  <x:si>
    <x:t xml:space="preserve">≥95% campaign links follow convention</x:t>
  </x:si>
  <x:si>
    <x:t xml:space="preserve">Use a shared naming dictionary.</x:t>
  </x:si>
  <x:si>
    <x:t xml:space="preserve">PW-014</x:t>
  </x:si>
  <x:si>
    <x:t xml:space="preserve">AI Discovery</x:t>
  </x:si>
  <x:si>
    <x:t xml:space="preserve">Track identifiable AI-assistant referrals</x:t>
  </x:si>
  <x:si>
    <x:t xml:space="preserve">Measure whether ChatGPT, Perplexity, Gemini and other assistants are sending visitors.</x:t>
  </x:si>
  <x:si>
    <x:t xml:space="preserve">Create referrer/channel rules for known AI assistant domains when visible. Preserve raw referrer and landing page. Report this separately from generic referral traffic; do not claim attribution where referrer is unavailable.</x:t>
  </x:si>
  <x:si>
    <x:t xml:space="preserve">Dashboard contains AI referral sessions, landing pages and downstream conversions for identifiable traffic; unattributable traffic remains unclassified.</x:t>
  </x:si>
  <x:si>
    <x:t xml:space="preserve">AI referral sessions + conversion rate</x:t>
  </x:si>
  <x:si>
    <x:t xml:space="preserve">Treat this as directional because some assistants/apps suppress referrers.</x:t>
  </x:si>
  <x:si>
    <x:t xml:space="preserve">PW-015</x:t>
  </x:si>
  <x:si>
    <x:t xml:space="preserve">Dashboard</x:t>
  </x:si>
  <x:si>
    <x:t xml:space="preserve">Build SEO + content + conversion dashboard</x:t>
  </x:si>
  <x:si>
    <x:t xml:space="preserve">Give one operating view for growth decisions.</x:t>
  </x:si>
  <x:si>
    <x:t xml:space="preserve">Combine GSC queries/pages, GA4 acquisition, PostHog conversion events and publishing status. Include impressions, clicks, CTR, avg position, organic signups, assessment completion and revenue/checkout metrics where available.</x:t>
  </x:si>
  <x:si>
    <x:t xml:space="preserve">Dashboard answers: what grew, what declined, which pages convert, which queries have opportunity, and what content needs action. Data refresh cadence is documented.</x:t>
  </x:si>
  <x:si>
    <x:t xml:space="preserve">PW-010,PW-011,PW-012</x:t>
  </x:si>
  <x:si>
    <x:t xml:space="preserve">Weekly operating dashboard used in review</x:t>
  </x:si>
  <x:si>
    <x:t xml:space="preserve">Start with essential metrics; avoid vanity-only reporting.</x:t>
  </x:si>
  <x:si>
    <x:t xml:space="preserve">PW-016</x:t>
  </x:si>
  <x:si>
    <x:t xml:space="preserve">SEO</x:t>
  </x:si>
  <x:si>
    <x:t xml:space="preserve">Technical SEO</x:t>
  </x:si>
  <x:si>
    <x:t xml:space="preserve">Define indexation policy for public vs private routes</x:t>
  </x:si>
  <x:si>
    <x:t xml:space="preserve">Keep search engines focused on acquisition content and out of app/auth/private surfaces.</x:t>
  </x:si>
  <x:si>
    <x:t xml:space="preserve">Inventory every route. Mark public indexable pages, public noindex utilities, and private/authenticated routes. Add robots meta/X-Robots-Tag rules where needed. Ensure login, dashboard, account and duplicate app states are noindex.</x:t>
  </x:si>
  <x:si>
    <x:t xml:space="preserve">Route inventory exists; only intended public pages are indexable; auth/private pages return noindex; no valuable public page is accidentally blocked.</x:t>
  </x:si>
  <x:si>
    <x:t xml:space="preserve">0 private routes indexed; 0 key public routes blocked</x:t>
  </x:si>
  <x:si>
    <x:t xml:space="preserve">Do not use robots.txt as a substitute for noindex on already-discovered sensitive URLs.</x:t>
  </x:si>
  <x:si>
    <x:t xml:space="preserve">PW-017</x:t>
  </x:si>
  <x:si>
    <x:t xml:space="preserve">Create production robots.txt</x:t>
  </x:si>
  <x:si>
    <x:t xml:space="preserve">Give crawlers clear crawl directives and sitemap discovery.</x:t>
  </x:si>
  <x:si>
    <x:t xml:space="preserve">Generate robots.txt for production with sitemap location, allow public content and disallow irrelevant crawl traps where appropriate. Preview/non-production environments must be blocked from indexing.</x:t>
  </x:si>
  <x:si>
    <x:t xml:space="preserve">robots.txt returns 200 text/plain; production directives are intentional; preview/staging cannot be indexed; sitemap URL is present.</x:t>
  </x:si>
  <x:si>
    <x:t xml:space="preserve">Valid robots.txt</x:t>
  </x:si>
  <x:si>
    <x:t xml:space="preserve">/robots.txt</x:t>
  </x:si>
  <x:si>
    <x:t xml:space="preserve">Keep directives minimal; overblocking is riskier than under-optimizing.</x:t>
  </x:si>
  <x:si>
    <x:t xml:space="preserve">PW-018</x:t>
  </x:si>
  <x:si>
    <x:t xml:space="preserve">Generate dynamic XML sitemap</x:t>
  </x:si>
  <x:si>
    <x:t xml:space="preserve">Expose all canonical indexable URLs and only those URLs.</x:t>
  </x:si>
  <x:si>
    <x:t xml:space="preserve">Build sitemap from the public content source/taxonomy. Include career, roadmap, skill, blog, comparison and tool pages when published. Exclude noindex, redirects, auth pages, query variants and unpublished drafts. Split into sitemap index if scale requires it.</x:t>
  </x:si>
  <x:si>
    <x:t xml:space="preserve">Sitemap validates; every URL returns 200 canonical content; no blocked/noindex/redirect URLs are present; lastmod is meaningful when used.</x:t>
  </x:si>
  <x:si>
    <x:t xml:space="preserve">Sitemap accepted in GSC; 0 invalid URLs</x:t>
  </x:si>
  <x:si>
    <x:t xml:space="preserve">/sitemap.xml</x:t>
  </x:si>
  <x:si>
    <x:t xml:space="preserve">Do not fake lastmod on every deploy; update it when content materially changes.</x:t>
  </x:si>
  <x:si>
    <x:t xml:space="preserve">PW-019</x:t>
  </x:si>
  <x:si>
    <x:t xml:space="preserve">Implement canonical URL component</x:t>
  </x:si>
  <x:si>
    <x:t xml:space="preserve">Consolidate duplicate URL variants and protect ranking signals.</x:t>
  </x:si>
  <x:si>
    <x:t xml:space="preserve">Create one reusable canonical generator based on canonical host + normalized pathname. Strip tracking/query variants unless a parameterized page truly deserves its own indexable canonical.</x:t>
  </x:si>
  <x:si>
    <x:t xml:space="preserve">Every indexable template outputs one self-referencing canonical; alternate host/query variants resolve/canonicalize correctly; no canonical points to redirect/noindex.</x:t>
  </x:si>
  <x:si>
    <x:t xml:space="preserve">PW-005,PW-016</x:t>
  </x:si>
  <x:si>
    <x:t xml:space="preserve">100% indexable pages have valid canonical</x:t>
  </x:si>
  <x:si>
    <x:t xml:space="preserve">Canonical must be deterministic and template-tested.</x:t>
  </x:si>
  <x:si>
    <x:t xml:space="preserve">PW-020</x:t>
  </x:si>
  <x:si>
    <x:t xml:space="preserve">Build reusable SEO metadata system</x:t>
  </x:si>
  <x:si>
    <x:t xml:space="preserve">Stop title/description inconsistencies as page volume grows.</x:t>
  </x:si>
  <x:si>
    <x:t xml:space="preserve">Create route/template-level metadata functions for title, meta description, canonical, robots, Open Graph and social image. Define length/uniqueness rules and safe fallbacks.</x:t>
  </x:si>
  <x:si>
    <x:t xml:space="preserve">All public templates expose unique title/description/canonical; no placeholder metadata appears in production; automated checks flag duplicates/missing fields.</x:t>
  </x:si>
  <x:si>
    <x:t xml:space="preserve">&lt;1% missing/duplicate titles on published pages</x:t>
  </x:si>
  <x:si>
    <x:t xml:space="preserve">Metadata must come from page data, not hardcoded site-wide defaults.</x:t>
  </x:si>
  <x:si>
    <x:t xml:space="preserve">PW-021</x:t>
  </x:si>
  <x:si>
    <x:t xml:space="preserve">Add Open Graph and social preview metadata</x:t>
  </x:si>
  <x:si>
    <x:t xml:space="preserve">Make shared pages look credible and clickable across social channels.</x:t>
  </x:si>
  <x:si>
    <x:t xml:space="preserve">Add og:title, og:description, og:url, og:type, og:image and Twitter card metadata. Create fallback branded image plus page-specific images for priority content.</x:t>
  </x:si>
  <x:si>
    <x:t xml:space="preserve">Priority URLs generate correct social previews with accessible images and no stale/cross-page metadata.</x:t>
  </x:si>
  <x:si>
    <x:t xml:space="preserve">Phase 2</x:t>
  </x:si>
  <x:si>
    <x:t xml:space="preserve">Social preview QA passed</x:t>
  </x:si>
  <x:si>
    <x:t xml:space="preserve">Keep OG image dimensions/size within platform-friendly ranges.</x:t>
  </x:si>
  <x:si>
    <x:t xml:space="preserve">PW-022</x:t>
  </x:si>
  <x:si>
    <x:t xml:space="preserve">Create useful 404 and redirect framework</x:t>
  </x:si>
  <x:si>
    <x:t xml:space="preserve">Preserve user journeys and link equity when URLs change.</x:t>
  </x:si>
  <x:si>
    <x:t xml:space="preserve">Implement branded 404 with search/related destinations. Maintain explicit 301 redirect map for moved/retired content. Detect redirect chains during releases.</x:t>
  </x:si>
  <x:si>
    <x:t xml:space="preserve">Invalid URLs return real 404 status; known migrations 301 to closest relevant page; no chains &gt;1 hop for managed redirects.</x:t>
  </x:si>
  <x:si>
    <x:t xml:space="preserve">404 works; managed redirects are one hop</x:t>
  </x:si>
  <x:si>
    <x:t xml:space="preserve">/404</x:t>
  </x:si>
  <x:si>
    <x:t xml:space="preserve">Never redirect every 404 to homepage.</x:t>
  </x:si>
  <x:si>
    <x:t xml:space="preserve">PW-023</x:t>
  </x:si>
  <x:si>
    <x:t xml:space="preserve">Audit JavaScript rendering and crawlable HTML</x:t>
  </x:si>
  <x:si>
    <x:t xml:space="preserve">Ensure Google and AI crawlers can access meaningful page content.</x:t>
  </x:si>
  <x:si>
    <x:t xml:space="preserve">Test key templates with rendered and raw HTML. For SEO-critical pages, ensure title/meta plus substantial core content is available reliably; evaluate prerender/SSR/static generation if client-only rendering limits discoverability/performance.</x:t>
  </x:si>
  <x:si>
    <x:t xml:space="preserve">Core text, headings, links and metadata are visible to crawler rendering; no template depends on user interaction to reveal essential content; mitigation is implemented for identified gaps.</x:t>
  </x:si>
  <x:si>
    <x:t xml:space="preserve">PW-004,PW-020</x:t>
  </x:si>
  <x:si>
    <x:t xml:space="preserve">Key templates pass crawler render audit</x:t>
  </x:si>
  <x:si>
    <x:t xml:space="preserve">Choose SSR/SSG only where the audit shows value; avoid architecture churn for its own sake.</x:t>
  </x:si>
  <x:si>
    <x:t xml:space="preserve">PW-024</x:t>
  </x:si>
  <x:si>
    <x:t xml:space="preserve">Create internal broken-link and orphan-page audit</x:t>
  </x:si>
  <x:si>
    <x:t xml:space="preserve">Prevent crawl dead ends as content volume grows.</x:t>
  </x:si>
  <x:si>
    <x:t xml:space="preserve">Run a scheduled crawl/build-time link check. Flag 4xx internal links, redirects used as internal links, and published pages with no inbound internal links. Assign fixes before release or weekly.</x:t>
  </x:si>
  <x:si>
    <x:t xml:space="preserve">Report can identify broken links and orphan pages; priority public pages have at least one contextual inbound link; internal links resolve directly to canonical 200 URLs.</x:t>
  </x:si>
  <x:si>
    <x:t xml:space="preserve">0 broken internal links on priority templates</x:t>
  </x:si>
  <x:si>
    <x:t xml:space="preserve">Automate where possible; manual spot checks do not scale.</x:t>
  </x:si>
  <x:si>
    <x:t xml:space="preserve">PW-025</x:t>
  </x:si>
  <x:si>
    <x:t xml:space="preserve">Performance</x:t>
  </x:si>
  <x:si>
    <x:t xml:space="preserve">Core Web Vitals</x:t>
  </x:si>
  <x:si>
    <x:t xml:space="preserve">Capture Lighthouse and CWV baseline</x:t>
  </x:si>
  <x:si>
    <x:t xml:space="preserve">Know which templates actually need performance work.</x:t>
  </x:si>
  <x:si>
    <x:t xml:space="preserve">Measure homepage plus representative career, blog, roadmap, comparison and signup landing pages on mobile. Record LCP, INP, CLS, TTFB, bundle size and main offenders.</x:t>
  </x:si>
  <x:si>
    <x:t xml:space="preserve">Baseline sheet/report exists for each template; top 3 bottlenecks per template are identified; targets are agreed before optimization.</x:t>
  </x:si>
  <x:si>
    <x:t xml:space="preserve">Baseline captured for 5+ key templates</x:t>
  </x:si>
  <x:si>
    <x:t xml:space="preserve">Use production-like network/device settings, not desktop-only scores.</x:t>
  </x:si>
  <x:si>
    <x:t xml:space="preserve">PW-026</x:t>
  </x:si>
  <x:si>
    <x:t xml:space="preserve">Frontend Performance</x:t>
  </x:si>
  <x:si>
    <x:t xml:space="preserve">Implement route-level code splitting</x:t>
  </x:si>
  <x:si>
    <x:t xml:space="preserve">Reduce initial JavaScript cost on public acquisition pages.</x:t>
  </x:si>
  <x:si>
    <x:t xml:space="preserve">Audit bundle and lazy-load application-only or below-the-fold modules. Split heavy editors/charts/admin components from public routes. Keep loading states stable.</x:t>
  </x:si>
  <x:si>
    <x:t xml:space="preserve">Initial JS on public pages drops materially; no route breaks; lazy chunks load on demand; regression is measured against PW-025.</x:t>
  </x:si>
  <x:si>
    <x:t xml:space="preserve">Reduced initial JS / improved LCP-INP</x:t>
  </x:si>
  <x:si>
    <x:t xml:space="preserve">Do not create dozens of tiny chunks that increase overhead.</x:t>
  </x:si>
  <x:si>
    <x:t xml:space="preserve">PW-027</x:t>
  </x:si>
  <x:si>
    <x:t xml:space="preserve">Media</x:t>
  </x:si>
  <x:si>
    <x:t xml:space="preserve">Build responsive image optimization pipeline</x:t>
  </x:si>
  <x:si>
    <x:t xml:space="preserve">Cut page weight and improve LCP without visual degradation.</x:t>
  </x:si>
  <x:si>
    <x:t xml:space="preserve">Use properly sized responsive images, WebP/AVIF where supported, width/height attributes, lazy loading below fold and priority loading only for actual LCP image. Store optimized variants or use Cloudflare image tooling if justified.</x:t>
  </x:si>
  <x:si>
    <x:t xml:space="preserve">No oversized raster images on priority pages; images reserve layout space; LCP image is not lazy-loaded; total transfer size improves.</x:t>
  </x:si>
  <x:si>
    <x:t xml:space="preserve">Image bytes reduced; CLS from images ~0</x:t>
  </x:si>
  <x:si>
    <x:t xml:space="preserve">Preserve originals/source assets outside the served bundle.</x:t>
  </x:si>
  <x:si>
    <x:t xml:space="preserve">PW-028</x:t>
  </x:si>
  <x:si>
    <x:t xml:space="preserve">Fonts</x:t>
  </x:si>
  <x:si>
    <x:t xml:space="preserve">Optimize font loading</x:t>
  </x:si>
  <x:si>
    <x:t xml:space="preserve">Reduce render delay and layout shifts caused by fonts.</x:t>
  </x:si>
  <x:si>
    <x:t xml:space="preserve">Inventory font families/weights, remove unused variants, subset where practical, self-host or optimize delivery, preload only critical font files and use font-display appropriately.</x:t>
  </x:si>
  <x:si>
    <x:t xml:space="preserve">Only used weights ship; fonts do not block page unnecessarily; no visible major layout shift; font requests reduced.</x:t>
  </x:si>
  <x:si>
    <x:t xml:space="preserve">Fewer font requests; improved render time</x:t>
  </x:si>
  <x:si>
    <x:t xml:space="preserve">Avoid preloading every font.</x:t>
  </x:si>
  <x:si>
    <x:t xml:space="preserve">PW-029</x:t>
  </x:si>
  <x:si>
    <x:t xml:space="preserve">Monitoring</x:t>
  </x:si>
  <x:si>
    <x:t xml:space="preserve">Add production web-vitals monitoring</x:t>
  </x:si>
  <x:si>
    <x:t xml:space="preserve">Catch regressions after releases, not weeks later.</x:t>
  </x:si>
  <x:si>
    <x:t xml:space="preserve">Capture real-user LCP/INP/CLS by route/template and release version using available analytics. Create thresholds/alerts or weekly regression view.</x:t>
  </x:si>
  <x:si>
    <x:t xml:space="preserve">Real-user CWV can be segmented by top route/template; regressions are visible after deployment; owner/action process exists.</x:t>
  </x:si>
  <x:si>
    <x:t xml:space="preserve">PW-010,PW-025</x:t>
  </x:si>
  <x:si>
    <x:t xml:space="preserve">% good CWV by template</x:t>
  </x:si>
  <x:si>
    <x:t xml:space="preserve">Use RUM to complement Lighthouse, not replace it.</x:t>
  </x:si>
  <x:si>
    <x:t xml:space="preserve">PW-030</x:t>
  </x:si>
  <x:si>
    <x:t xml:space="preserve">Content Architecture</x:t>
  </x:si>
  <x:si>
    <x:t xml:space="preserve">Information Architecture</x:t>
  </x:si>
  <x:si>
    <x:t xml:space="preserve">Finalize public URL taxonomy</x:t>
  </x:si>
  <x:si>
    <x:t xml:space="preserve">Create a scalable structure before hundreds of pages are published.</x:t>
  </x:si>
  <x:si>
    <x:t xml:space="preserve">Define canonical patterns for /careers/, /roadmaps/, /skills/, /blog/, /compare/, /projects/, /tools/, /salary/, /career-guides/ and /colleges/. Define slug rules, hierarchy and ownership of overlapping intents.</x:t>
  </x:si>
  <x:si>
    <x:t xml:space="preserve">One documented URL map exists; every planned content type has a canonical path; collisions/cannibalization rules are documented.</x:t>
  </x:si>
  <x:si>
    <x:t xml:space="preserve">Approved URL architecture</x:t>
  </x:si>
  <x:si>
    <x:t xml:space="preserve">Avoid nesting just because taxonomy is deep; keep important URLs readable and stable.</x:t>
  </x:si>
  <x:si>
    <x:t xml:space="preserve">PW-031</x:t>
  </x:si>
  <x:si>
    <x:t xml:space="preserve">Taxonomy</x:t>
  </x:si>
  <x:si>
    <x:t xml:space="preserve">Normalize career/role taxonomy for public SEO pages</x:t>
  </x:si>
  <x:si>
    <x:t xml:space="preserve">Ensure one entity maps to one canonical career page.</x:t>
  </x:si>
  <x:si>
    <x:t xml:space="preserve">Review role names, synonyms, seniority variants and duplicates. Define canonical display name, slug, aliases, related roles, category and whether a role deserves its own page.</x:t>
  </x:si>
  <x:si>
    <x:t xml:space="preserve">Top-priority roles have unique canonical entities; synonyms map to one page where appropriate; duplicate role pages are prevented.</x:t>
  </x:si>
  <x:si>
    <x:t xml:space="preserve">Canonical role taxonomy approved</x:t>
  </x:si>
  <x:si>
    <x:t xml:space="preserve">Use existing Pathwisse taxonomy as source, but apply public-search quality gates.</x:t>
  </x:si>
  <x:si>
    <x:t xml:space="preserve">PW-032</x:t>
  </x:si>
  <x:si>
    <x:t xml:space="preserve">Templates</x:t>
  </x:si>
  <x:si>
    <x:t xml:space="preserve">Build reusable Career Page template</x:t>
  </x:si>
  <x:si>
    <x:t xml:space="preserve">Create the main organic landing-page format for role-intent searches.</x:t>
  </x:si>
  <x:si>
    <x:t xml:space="preserve">Template sections: direct answer/summary, responsibilities, who it suits, required skills, tools, roadmap preview, projects, salary/context, career progression, AI impact, FAQs, related roles and assessment/roadmap CTA. Pull structured data from canonical taxonomy with human-editable narrative fields.</x:t>
  </x:si>
  <x:si>
    <x:t xml:space="preserve">Template is responsive, indexable, accessible, schema-ready and supports unique content per role; one pilot page passes design/SEO QA.</x:t>
  </x:si>
  <x:si>
    <x:t xml:space="preserve">PW-020,PW-030,PW-031</x:t>
  </x:si>
  <x:si>
    <x:t xml:space="preserve">Pilot career page passes QA</x:t>
  </x:si>
  <x:si>
    <x:t xml:space="preserve">/careers/:slug</x:t>
  </x:si>
  <x:si>
    <x:t xml:space="preserve">Avoid generic boilerplate sections that differ only by role name.</x:t>
  </x:si>
  <x:si>
    <x:t xml:space="preserve">PW-033</x:t>
  </x:si>
  <x:si>
    <x:t xml:space="preserve">Build Career Roadmap Page template</x:t>
  </x:si>
  <x:si>
    <x:t xml:space="preserve">Target high-intent 'how to become X' searches and convert them into roadmap starts.</x:t>
  </x:si>
  <x:si>
    <x:t xml:space="preserve">Show prerequisite check, phased roadmap, skills/topics, estimated sequence, projects, checkpoints, common mistakes, job-readiness criteria and CTA to start/import roadmap in Pathwisse.</x:t>
  </x:si>
  <x:si>
    <x:t xml:space="preserve">Pilot roadmap is crawlable and useful without login; CTA deep-links into the correct product flow; phased content is unique and understandable.</x:t>
  </x:si>
  <x:si>
    <x:t xml:space="preserve">PW-030,PW-032</x:t>
  </x:si>
  <x:si>
    <x:t xml:space="preserve">Roadmap page→start conversion</x:t>
  </x:si>
  <x:si>
    <x:t xml:space="preserve">/roadmaps/:slug</x:t>
  </x:si>
  <x:si>
    <x:t xml:space="preserve">Public page should deliver real value before asking for signup.</x:t>
  </x:si>
  <x:si>
    <x:t xml:space="preserve">PW-034</x:t>
  </x:si>
  <x:si>
    <x:t xml:space="preserve">Build Skill Page template</x:t>
  </x:si>
  <x:si>
    <x:t xml:space="preserve">Capture skill-learning intent and connect skills to careers and projects.</x:t>
  </x:si>
  <x:si>
    <x:t xml:space="preserve">Sections: what it is, why it matters, careers using it, prerequisites, topic sequence, projects, interview relevance, related skills and learning CTA. Include internal links to careers and roadmaps.</x:t>
  </x:si>
  <x:si>
    <x:t xml:space="preserve">Pilot skill page passes SEO/design QA; relationships are data-driven; content is materially specific to the skill.</x:t>
  </x:si>
  <x:si>
    <x:t xml:space="preserve">PW-030,PW-031</x:t>
  </x:si>
  <x:si>
    <x:t xml:space="preserve">Skill page organic visits + CTA conversion</x:t>
  </x:si>
  <x:si>
    <x:t xml:space="preserve">/skills/:slug</x:t>
  </x:si>
  <x:si>
    <x:t xml:space="preserve">Avoid duplicating course-description copy.</x:t>
  </x:si>
  <x:si>
    <x:t xml:space="preserve">PW-035</x:t>
  </x:si>
  <x:si>
    <x:t xml:space="preserve">Build Career Comparison template</x:t>
  </x:si>
  <x:si>
    <x:t xml:space="preserve">Capture decision-stage searches such as 'Data Analyst vs Data Scientist'.</x:t>
  </x:si>
  <x:si>
    <x:t xml:space="preserve">Create structured comparison dimensions: daily work, coding level, math, skills, time-to-entry, salary context, growth, AI exposure, personality fit, projects and 'choose this if' guidance. Link to both career roadmaps and assessment.</x:t>
  </x:si>
  <x:si>
    <x:t xml:space="preserve">Pilot comparison page has unique decision guidance, comparison table, FAQ and valid metadata/schema; both role entities link bidirectionally.</x:t>
  </x:si>
  <x:si>
    <x:t xml:space="preserve">Comparison→assessment conversion</x:t>
  </x:si>
  <x:si>
    <x:t xml:space="preserve">/compare/:slug</x:t>
  </x:si>
  <x:si>
    <x:t xml:space="preserve">Do not make a superficial two-column keyword swap.</x:t>
  </x:si>
  <x:si>
    <x:t xml:space="preserve">PW-036</x:t>
  </x:si>
  <x:si>
    <x:t xml:space="preserve">Build Project Page template</x:t>
  </x:si>
  <x:si>
    <x:t xml:space="preserve">Capture project-intent searches and strengthen job-readiness funnel.</x:t>
  </x:si>
  <x:si>
    <x:t xml:space="preserve">Show project brief, learning objectives, prerequisite skills, suggested stack, milestone breakdown, deliverables, evaluation rubric, portfolio tips, interview talking points and relevant career/skill links.</x:t>
  </x:si>
  <x:si>
    <x:t xml:space="preserve">Pilot project page can be completed from public instructions, has a clear Pathwisse project CTA and links to relevant skills/careers.</x:t>
  </x:si>
  <x:si>
    <x:t xml:space="preserve">Phase 3</x:t>
  </x:si>
  <x:si>
    <x:t xml:space="preserve">PW-030,PW-034</x:t>
  </x:si>
  <x:si>
    <x:t xml:space="preserve">Project page→signup/roadmap conversion</x:t>
  </x:si>
  <x:si>
    <x:t xml:space="preserve">/projects/:slug</x:t>
  </x:si>
  <x:si>
    <x:t xml:space="preserve">Do not publish copyrighted tutorial copies; create original project briefs.</x:t>
  </x:si>
  <x:si>
    <x:t xml:space="preserve">PW-037</x:t>
  </x:si>
  <x:si>
    <x:t xml:space="preserve">Build Degree Career Guide template</x:t>
  </x:si>
  <x:si>
    <x:t xml:space="preserve">Capture 'careers after BTech CSE/Mechanical/BBA/etc.' intent.</x:t>
  </x:si>
  <x:si>
    <x:t xml:space="preserve">Template should explain common paths, skill gaps by degree, coding/non-coding options, decision criteria, recommended careers, roadmap links, FAQs and assessment CTA. Support degree + specialization data.</x:t>
  </x:si>
  <x:si>
    <x:t xml:space="preserve">Pilot guide is unique to the degree, not a generic career list; recommended roles have reasoning; internal links resolve to canonical career pages.</x:t>
  </x:si>
  <x:si>
    <x:t xml:space="preserve">Degree guide→assessment conversion</x:t>
  </x:si>
  <x:si>
    <x:t xml:space="preserve">/career-guides/:slug</x:t>
  </x:si>
  <x:si>
    <x:t xml:space="preserve">Use actual curriculum/skill context where available; avoid unsupported employability claims.</x:t>
  </x:si>
  <x:si>
    <x:t xml:space="preserve">PW-038</x:t>
  </x:si>
  <x:si>
    <x:t xml:space="preserve">Build Salary/market context page template</x:t>
  </x:si>
  <x:si>
    <x:t xml:space="preserve">Capture salary-intent while keeping claims sourced and maintainable.</x:t>
  </x:si>
  <x:si>
    <x:t xml:space="preserve">Define data-source policy, geography, experience band and update cadence. Separate observed/source data from Pathwisse commentary. Include role links and disclaimers around variability.</x:t>
  </x:si>
  <x:si>
    <x:t xml:space="preserve">Pilot page shows source/date/methodology; no invented salary numbers; stale-data warning/update mechanism exists.</x:t>
  </x:si>
  <x:si>
    <x:t xml:space="preserve">P2</x:t>
  </x:si>
  <x:si>
    <x:t xml:space="preserve">Phase 4</x:t>
  </x:si>
  <x:si>
    <x:t xml:space="preserve">Organic traffic from salary intent</x:t>
  </x:si>
  <x:si>
    <x:t xml:space="preserve">/salary/:slug</x:t>
  </x:si>
  <x:si>
    <x:t xml:space="preserve">Do not scale salary pages until reliable data ingestion/source policy exists.</x:t>
  </x:si>
  <x:si>
    <x:t xml:space="preserve">PW-039</x:t>
  </x:si>
  <x:si>
    <x:t xml:space="preserve">Content</x:t>
  </x:si>
  <x:si>
    <x:t xml:space="preserve">Blog Platform</x:t>
  </x:si>
  <x:si>
    <x:t xml:space="preserve">Create /blog index and content model</x:t>
  </x:si>
  <x:si>
    <x:t xml:space="preserve">Establish a maintainable publishing system instead of hardcoded articles.</x:t>
  </x:si>
  <x:si>
    <x:t xml:space="preserve">Define article fields: slug, title, dek, author, reviewer, publish/update dates, category, cluster, primary intent, body, sources, related entities, CTA, OG image, status and canonical. Implement data source/CMS pattern consistent with repo architecture.</x:t>
  </x:si>
  <x:si>
    <x:t xml:space="preserve">Blog index lists published posts only; drafts are excluded/noindex; article data can be created/updated without editing template code; sitemap inclusion is automated.</x:t>
  </x:si>
  <x:si>
    <x:t xml:space="preserve">Blog publishing works end-to-end</x:t>
  </x:si>
  <x:si>
    <x:t xml:space="preserve">/blog</x:t>
  </x:si>
  <x:si>
    <x:t xml:space="preserve">Choose the simplest maintainable CMS/data approach for current team size.</x:t>
  </x:si>
  <x:si>
    <x:t xml:space="preserve">PW-040</x:t>
  </x:si>
  <x:si>
    <x:t xml:space="preserve">Build SEO-first article template</x:t>
  </x:si>
  <x:si>
    <x:t xml:space="preserve">Make every article readable, indexable and conversion-ready.</x:t>
  </x:si>
  <x:si>
    <x:t xml:space="preserve">Include H1, answer-first intro, author/reviewer, updated date, table of contents, semantic H2/H3, source references, callout/table support, related links, contextual CTA, end CTA, Article schema and social metadata.</x:t>
  </x:si>
  <x:si>
    <x:t xml:space="preserve">Pilot article passes mobile, accessibility, metadata, schema and crawl QA; no layout shift from media; internal links/CTA are trackable.</x:t>
  </x:si>
  <x:si>
    <x:t xml:space="preserve">PW-039,PW-020</x:t>
  </x:si>
  <x:si>
    <x:t xml:space="preserve">Article template QA pass</x:t>
  </x:si>
  <x:si>
    <x:t xml:space="preserve">/blog/:slug</x:t>
  </x:si>
  <x:si>
    <x:t xml:space="preserve">Avoid popup-heavy layouts that damage reading experience.</x:t>
  </x:si>
  <x:si>
    <x:t xml:space="preserve">PW-041</x:t>
  </x:si>
  <x:si>
    <x:t xml:space="preserve">Editorial System</x:t>
  </x:si>
  <x:si>
    <x:t xml:space="preserve">Define content brief template</x:t>
  </x:si>
  <x:si>
    <x:t xml:space="preserve">Ensure writers/agents solve a specific search problem rather than generate generic text.</x:t>
  </x:si>
  <x:si>
    <x:t xml:space="preserve">Brief fields: target query, user stage, search intent, competing-page gaps, Pathwisse angle, required entities, questions to answer, original examples/data, source requirements, internal links, CTA and success metric.</x:t>
  </x:si>
  <x:si>
    <x:t xml:space="preserve">Every new priority article has an approved brief before drafting; brief is reusable by human or AI writer.</x:t>
  </x:si>
  <x:si>
    <x:t xml:space="preserve">Owner: Codex | Completed: 2026-08-17 01:09:58 IST | Evidence: PR https://github.com/MahammadWahab540/pathwisseclarity/pull/10 | Checks https://github.com/MahammadWahab540/pathwisseclarity/actions/runs/31968191651 | Merge https://github.com/MahammadWahab540/pathwisseclarity/commit/babe81dfbd6f5cfd3b97fdde1154fa1eba39e5c5 | Notes: Added reusable editor/AI brief template, approved pilot brief, article-to-brief linkage, documentation, and CI enforcement.</x:t>
  </x:si>
  <x:si>
    <x:t xml:space="preserve">100% priority content has brief</x:t>
  </x:si>
  <x:si>
    <x:t xml:space="preserve">The brief should state what not to write when SERP is already saturated with generic advice.</x:t>
  </x:si>
  <x:si>
    <x:t xml:space="preserve">PW-042</x:t>
  </x:si>
  <x:si>
    <x:t xml:space="preserve">Define source and fact-check policy</x:t>
  </x:si>
  <x:si>
    <x:t xml:space="preserve">Protect trust and AI citation potential.</x:t>
  </x:si>
  <x:si>
    <x:t xml:space="preserve">Specify acceptable primary/authoritative sources, how to cite salary/job/AI claims, recency rules, quote limits, unsupported-claim handling and reviewer responsibilities. Require source URLs in content records.</x:t>
  </x:si>
  <x:si>
    <x:t xml:space="preserve">Published factual claims can be traced to sources; high-risk claims have explicit review; outdated source flags are defined.</x:t>
  </x:si>
  <x:si>
    <x:t xml:space="preserve">Owner: Codex | Completed: 2026-08-17 02:10:19 IST | Evidence: PR https://github.com/MahammadWahab540/pathwisseclarity/pull/11 | Checks https://github.com/MahammadWahab540/pathwisseclarity/actions/runs/31971154010 | Merge https://github.com/MahammadWahab540/pathwisseclarity/commit/77f8004a047a94272edf03d9d163d40d6ad6513c | Notes: Added source tiers, salary/job/AI recency rules, quote limits, unsupported-claim blocking, evidence ledgers, independent high-risk review and CI publication gates.</x:t>
  </x:si>
  <x:si>
    <x:t xml:space="preserve">0 unsourced high-impact claims</x:t>
  </x:si>
  <x:si>
    <x:t xml:space="preserve">Prefer primary sources and original Pathwisse data over circular SEO articles.</x:t>
  </x:si>
  <x:si>
    <x:t xml:space="preserve">PW-043</x:t>
  </x:si>
  <x:si>
    <x:t xml:space="preserve">Define editorial style and quality rubric</x:t>
  </x:si>
  <x:si>
    <x:t xml:space="preserve">Keep AI-assisted content useful and recognizably Pathwisse.</x:t>
  </x:si>
  <x:si>
    <x:t xml:space="preserve">Create rubric for directness, specificity, examples, originality, student usefulness, evidence, structure, readability, internal links and conversion fit. Define minimum score to publish.</x:t>
  </x:si>
  <x:si>
    <x:t xml:space="preserve">Writers/reviewers can score a draft consistently; below-threshold content is revised or rejected; generic AI filler is explicitly penalized.</x:t>
  </x:si>
  <x:si>
    <x:t xml:space="preserve">PW-041,PW-042</x:t>
  </x:si>
  <x:si>
    <x:t xml:space="preserve">Average content QA score</x:t>
  </x:si>
  <x:si>
    <x:t xml:space="preserve">Do not optimize for word count; optimize for completing the reader's decision/task.</x:t>
  </x:si>
  <x:si>
    <x:t xml:space="preserve">PW-044</x:t>
  </x:si>
  <x:si>
    <x:t xml:space="preserve">Build publish QA checklist and workflow</x:t>
  </x:si>
  <x:si>
    <x:t xml:space="preserve">Make quality repeatable at higher publishing velocity.</x:t>
  </x:si>
  <x:si>
    <x:t xml:space="preserve">Stages: Brief → Research → Draft → SME/fact review → SEO/GEO QA → Design/media → Internal links → Schema → Preview → Publish → Index request → Measure → Refresh. Assign status field and owner at each stage.</x:t>
  </x:si>
  <x:si>
    <x:t xml:space="preserve">No priority article can move to Published without required checks; status and owner are visible in tracker/CMS.</x:t>
  </x:si>
  <x:si>
    <x:t xml:space="preserve">PW-041,PW-042,PW-043</x:t>
  </x:si>
  <x:si>
    <x:t xml:space="preserve">100% published articles pass QA</x:t>
  </x:si>
  <x:si>
    <x:t xml:space="preserve">Automate checks where deterministic; keep judgment-heavy checks human-reviewed.</x:t>
  </x:si>
  <x:si>
    <x:t xml:space="preserve">PW-045</x:t>
  </x:si>
  <x:si>
    <x:t xml:space="preserve">Add author/reviewer credibility system</x:t>
  </x:si>
  <x:si>
    <x:t xml:space="preserve">Increase trust for career guidance and make expertise explicit.</x:t>
  </x:si>
  <x:si>
    <x:t xml:space="preserve">Create author bio pages/cards with role/expertise, reviewer attribution where relevant, and clear separation between editorial content and product claims. Add Person schema only for real named people.</x:t>
  </x:si>
  <x:si>
    <x:t xml:space="preserve">Each priority article shows responsible author/reviewer; author pages exist; structured data matches visible information.</x:t>
  </x:si>
  <x:si>
    <x:t xml:space="preserve">Author coverage on priority articles</x:t>
  </x:si>
  <x:si>
    <x:t xml:space="preserve">Never fabricate credentials or expert reviewers.</x:t>
  </x:si>
  <x:si>
    <x:t xml:space="preserve">PW-046</x:t>
  </x:si>
  <x:si>
    <x:t xml:space="preserve">Add related-content and contextual CTA modules</x:t>
  </x:si>
  <x:si>
    <x:t xml:space="preserve">Turn informational traffic into deeper learning and product activation.</x:t>
  </x:si>
  <x:si>
    <x:t xml:space="preserve">Map each article to related careers, skills, roadmaps, comparisons and one primary CTA based on intent. Track module impressions/clicks. Avoid generic 'Sign up now' on every section.</x:t>
  </x:si>
  <x:si>
    <x:t xml:space="preserve">Each priority article has at least 3 relevant internal links plus one intent-matched CTA; clicks are tracked; no broken relationships.</x:t>
  </x:si>
  <x:si>
    <x:t xml:space="preserve">PW-040,PW-012</x:t>
  </x:si>
  <x:si>
    <x:t xml:space="preserve">Article→career/assessment/roadmap CTR</x:t>
  </x:si>
  <x:si>
    <x:t xml:space="preserve">CTA should be a logical next step, not an interruption.</x:t>
  </x:si>
  <x:si>
    <x:t xml:space="preserve">PW-047</x:t>
  </x:si>
  <x:si>
    <x:t xml:space="preserve">Create article OG image/media pipeline</x:t>
  </x:si>
  <x:si>
    <x:t xml:space="preserve">Improve shareability and consistent visual identity.</x:t>
  </x:si>
  <x:si>
    <x:t xml:space="preserve">Define reusable cover image templates by cluster, alt-text requirements, image naming/compression and storage path. Generate unique useful diagrams/graphics where they improve understanding.</x:t>
  </x:si>
  <x:si>
    <x:t xml:space="preserve">Every priority article has optimized social image; images include dimensions/alt text; no multi-megabyte assets ship.</x:t>
  </x:si>
  <x:si>
    <x:t xml:space="preserve">PW-040,PW-027</x:t>
  </x:si>
  <x:si>
    <x:t xml:space="preserve">Social CTR / image weight</x:t>
  </x:si>
  <x:si>
    <x:t xml:space="preserve">Do not add decorative images solely to increase article length.</x:t>
  </x:si>
  <x:si>
    <x:t xml:space="preserve">PW-048</x:t>
  </x:si>
  <x:si>
    <x:t xml:space="preserve">Keyword Strategy</x:t>
  </x:si>
  <x:si>
    <x:t xml:space="preserve">Build keyword universe around student career decisions</x:t>
  </x:si>
  <x:si>
    <x:t xml:space="preserve">Prioritize queries closest to Pathwisse's core value proposition.</x:t>
  </x:si>
  <x:si>
    <x:t xml:space="preserve">Collect query families for career confusion, role discovery, how-to-become, comparisons, skills, projects, interview prep, job readiness, AI impact, degree-specific careers and tools. Tag by intent, persona, funnel stage and destination template.</x:t>
  </x:si>
  <x:si>
    <x:t xml:space="preserve">Keyword universe covers all core clusters; every keyword maps to one canonical destination type; duplicates/cannibalization candidates are flagged.</x:t>
  </x:si>
  <x:si>
    <x:t xml:space="preserve">Owner: Codex | Completed: 2026-08-17 03:04:34 IST | Evidence: PR https://github.com/MahammadWahab540/pathwisseclarity/pull/12 | Checks https://github.com/MahammadWahab540/pathwisseclarity/actions/runs/31973832601 | Merge https://github.com/MahammadWahab540/pathwisseclarity/commit/bb4bc4ab008f3896b7554d075d7453d58872a4d8 | Notes: Added 60 normalized seed queries across 12 clusters, tagged by persona/intent/funnel/destination; covered all career entities; resolved six cannibalization candidates; added CI validation.</x:t>
  </x:si>
  <x:si>
    <x:t xml:space="preserve">Keyword→page mapping coverage</x:t>
  </x:si>
  <x:si>
    <x:t xml:space="preserve">Use query data to choose pages, not to force keywords into existing pages.</x:t>
  </x:si>
  <x:si>
    <x:t xml:space="preserve">PW-049</x:t>
  </x:si>
  <x:si>
    <x:t xml:space="preserve">Create 90-day content priority score</x:t>
  </x:si>
  <x:si>
    <x:t xml:space="preserve">Focus limited team capacity on pages with the best combination of intent, fit and conversion potential.</x:t>
  </x:si>
  <x:si>
    <x:t xml:space="preserve">Score candidates on business fit, search demand/opportunity, competition, content advantage, internal-data advantage, conversion proximity and effort. Select first 50 acquisition pages.</x:t>
  </x:si>
  <x:si>
    <x:t xml:space="preserve">A ranked 90-day queue exists with rationale; no team ambiguity about what ships next; score can be updated with GSC data.</x:t>
  </x:si>
  <x:si>
    <x:t xml:space="preserve">Owner: Codex | Completed: 2026-08-17 04:08:10 IST | Evidence: PR https://github.com/MahammadWahab540/pathwisseclarity/pull/13 | Checks https://github.com/MahammadWahab540/pathwisseclarity/actions/runs/31976823878 | Merge https://github.com/MahammadWahab540/pathwisseclarity/commit/ca9f626b0ddc6ba783b522034ebd1c67124f62b6 | Notes: Ranked 50 unique acquisition pages from 59 candidates using transparent 100-point scoring, rationale and 30/60/90-day windows; added deterministic generator and verified GSC refresh path without fabricated demand data.</x:t>
  </x:si>
  <x:si>
    <x:t xml:space="preserve">Top 50 page queue approved</x:t>
  </x:si>
  <x:si>
    <x:t xml:space="preserve">Do not let search volume alone dominate the score.</x:t>
  </x:si>
  <x:si>
    <x:t xml:space="preserve">PW-050</x:t>
  </x:si>
  <x:si>
    <x:t xml:space="preserve">Map keyword cannibalization rules</x:t>
  </x:si>
  <x:si>
    <x:t xml:space="preserve">Prevent blog, career and roadmap pages from competing for the same intent.</x:t>
  </x:si>
  <x:si>
    <x:t xml:space="preserve">For each high-value cluster choose one primary page type/query intent. Define examples: 'Data Analyst'→career page; 'how to become data analyst'→roadmap; 'data analyst vs business analyst'→comparison. Blogs support rather than duplicate these intents.</x:t>
  </x:si>
  <x:si>
    <x:t xml:space="preserve">Priority queries have one primary canonical destination; supporting articles have distinct intent; internal anchor strategy reinforces hierarchy.</x:t>
  </x:si>
  <x:si>
    <x:t xml:space="preserve">PW-048,PW-030</x:t>
  </x:si>
  <x:si>
    <x:t xml:space="preserve">Owner: Codex | Completed: 2026-08-17 05:06:25 IST | Evidence: PR https://github.com/MahammadWahab540/pathwisseclarity/pull/14 | Checks https://github.com/MahammadWahab540/pathwisseclarity/actions/runs/31979539396 | Merge https://github.com/MahammadWahab540/pathwisseclarity/commit/eaf1e482ff30a29f9b97f0ef2dfaec1be49b2023 | Notes: Assigned 59 canonical keyword owners including all 50 priority pages, defined 12 cluster boundaries, eight distinct blog-support patterns, hub-and-spoke anchor rules, deterministic generation and CI enforcement.</x:t>
  </x:si>
  <x:si>
    <x:t xml:space="preserve">0 intentional duplicate primary intents</x:t>
  </x:si>
  <x:si>
    <x:t xml:space="preserve">When intent overlaps, consolidate rather than publish another near-duplicate page.</x:t>
  </x:si>
  <x:si>
    <x:t xml:space="preserve">PW-051</x:t>
  </x:si>
  <x:si>
    <x:t xml:space="preserve">Initial Blog Cluster</x:t>
  </x:si>
  <x:si>
    <x:t xml:space="preserve">Research, write, publish and optimize: I Don't Know What Career to Choose After BTech</x:t>
  </x:si>
  <x:si>
    <x:t xml:space="preserve">Capture students uncertain about career direction search intent and move the reader toward assessment.</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</x:si>
  <x:si>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assessment, add Article/FAQ schema only where valid, preview on mobile and request indexing after publish.</x:t>
  </x:si>
  <x:si>
    <x:t xml:space="preserve">Article is original, fact-checked, passes editorial/SEO/GEO checklist, has unique title/meta/canonical, 3+ contextual internal links, tracked CTA, optimized image, valid schema, is in sitemap and is submitted/eligible for indexing.</x:t>
  </x:si>
  <x:si>
    <x:t xml:space="preserve">PW-040,PW-041,PW-042,PW-046,PW-049</x:t>
  </x:si>
  <x:si>
    <x:t xml:space="preserve">Impressions, CTR, organic entrances, CTA CTR, signups</x:t>
  </x:si>
  <x:si>
    <x:t xml:space="preserve">/blog/career-after-btech-confusion</x:t>
  </x:si>
  <x:si>
    <x:t xml:space="preserve">Treat this as a landing asset, not a generic blog. Search intent = Students uncertain about career direction. Primary conversion = assessment.</x:t>
  </x:si>
  <x:si>
    <x:t xml:space="preserve">PW-052</x:t>
  </x:si>
  <x:si>
    <x:t xml:space="preserve">Research, write, publish and optimize: How to Choose a Career After Engineering</x:t>
  </x:si>
  <x:si>
    <x:t xml:space="preserve">Capture decision framework after engineering search intent and move the reader toward assessment.</x:t>
  </x:si>
  <x:si>
    <x:t xml:space="preserve">/blog/how-to-choose-career-after-engineering</x:t>
  </x:si>
  <x:si>
    <x:t xml:space="preserve">Treat this as a landing asset, not a generic blog. Search intent = Decision framework after engineering. Primary conversion = assessment.</x:t>
  </x:si>
  <x:si>
    <x:t xml:space="preserve">PW-053</x:t>
  </x:si>
  <x:si>
    <x:t xml:space="preserve">Research, write, publish and optimize: Career Options After BTech CSE</x:t>
  </x:si>
  <x:si>
    <x:t xml:space="preserve">Capture career discovery for cse students search intent and move the reader toward career pages.</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</x:si>
  <x:si>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career pages, add Article/FAQ schema only where valid, preview on mobile and request indexing after publish.</x:t>
  </x:si>
  <x:si>
    <x:t xml:space="preserve">/blog/career-options-after-btech-cse</x:t>
  </x:si>
  <x:si>
    <x:t xml:space="preserve">Treat this as a landing asset, not a generic blog. Search intent = Career discovery for CSE students. Primary conversion = career pages.</x:t>
  </x:si>
  <x:si>
    <x:t xml:space="preserve">PW-054</x:t>
  </x:si>
  <x:si>
    <x:t xml:space="preserve">Research, write, publish and optimize: Career Options After Mechanical Engineering</x:t>
  </x:si>
  <x:si>
    <x:t xml:space="preserve">Capture career discovery for mechanical students search intent and move the reader toward assessment.</x:t>
  </x:si>
  <x:si>
    <x:t xml:space="preserve">/blog/career-options-after-mechanical-engineering</x:t>
  </x:si>
  <x:si>
    <x:t xml:space="preserve">Treat this as a landing asset, not a generic blog. Search intent = Career discovery for Mechanical students. Primary conversion = assessment.</x:t>
  </x:si>
  <x:si>
    <x:t xml:space="preserve">PW-055</x:t>
  </x:si>
  <x:si>
    <x:t xml:space="preserve">Research, write, publish and optimize: Best Careers for Students Who Don't Like Coding</x:t>
  </x:si>
  <x:si>
    <x:t xml:space="preserve">Capture non-coding career discovery search intent and move the reader toward assessment.</x:t>
  </x:si>
  <x:si>
    <x:t xml:space="preserve">/blog/careers-without-coding</x:t>
  </x:si>
  <x:si>
    <x:t xml:space="preserve">Treat this as a landing asset, not a generic blog. Search intent = Non-coding career discovery. Primary conversion = assessment.</x:t>
  </x:si>
  <x:si>
    <x:t xml:space="preserve">PW-056</x:t>
  </x:si>
  <x:si>
    <x:t xml:space="preserve">Research, write, publish and optimize: Best Careers for Students Who Like Coding</x:t>
  </x:si>
  <x:si>
    <x:t xml:space="preserve">Capture coding-heavy career discovery search intent and move the reader toward assessment.</x:t>
  </x:si>
  <x:si>
    <x:t xml:space="preserve">/blog/careers-for-students-who-like-coding</x:t>
  </x:si>
  <x:si>
    <x:t xml:space="preserve">Treat this as a landing asset, not a generic blog. Search intent = Coding-heavy career discovery. Primary conversion = assessment.</x:t>
  </x:si>
  <x:si>
    <x:t xml:space="preserve">PW-057</x:t>
  </x:si>
  <x:si>
    <x:t xml:space="preserve">Research, write, publish and optimize: Data Analyst vs Business Analyst</x:t>
  </x:si>
  <x:si>
    <x:t xml:space="preserve">Capture decision between two adjacent roles search intent and move the reader toward comparison.</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</x:si>
  <x:si>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comparison, add Article/FAQ schema only where valid, preview on mobile and request indexing after publish.</x:t>
  </x:si>
  <x:si>
    <x:t xml:space="preserve">/blog/data-analyst-vs-business-analyst</x:t>
  </x:si>
  <x:si>
    <x:t xml:space="preserve">Treat this as a landing asset, not a generic blog. Search intent = Decision between two adjacent roles. Primary conversion = comparison.</x:t>
  </x:si>
  <x:si>
    <x:t xml:space="preserve">PW-058</x:t>
  </x:si>
  <x:si>
    <x:t xml:space="preserve">Research, write, publish and optimize: Data Analyst vs Data Scientist</x:t>
  </x:si>
  <x:si>
    <x:t xml:space="preserve">Capture decision between analytics/data science roles search intent and move the reader toward comparison.</x:t>
  </x:si>
  <x:si>
    <x:t xml:space="preserve">/blog/data-analyst-vs-data-scientist</x:t>
  </x:si>
  <x:si>
    <x:t xml:space="preserve">Treat this as a landing asset, not a generic blog. Search intent = Decision between analytics/data science roles. Primary conversion = comparison.</x:t>
  </x:si>
  <x:si>
    <x:t xml:space="preserve">PW-059</x:t>
  </x:si>
  <x:si>
    <x:t xml:space="preserve">Research, write, publish and optimize: Product Manager vs Business Analyst</x:t>
  </x:si>
  <x:si>
    <x:t xml:space="preserve">Capture decision between pm and ba search intent and move the reader toward comparison.</x:t>
  </x:si>
  <x:si>
    <x:t xml:space="preserve">/blog/product-manager-vs-business-analyst</x:t>
  </x:si>
  <x:si>
    <x:t xml:space="preserve">Treat this as a landing asset, not a generic blog. Search intent = Decision between PM and BA. Primary conversion = comparison.</x:t>
  </x:si>
  <x:si>
    <x:t xml:space="preserve">PW-060</x:t>
  </x:si>
  <x:si>
    <x:t xml:space="preserve">Research, write, publish and optimize: Frontend vs Backend Development</x:t>
  </x:si>
  <x:si>
    <x:t xml:space="preserve">Capture development specialization choice search intent and move the reader toward comparison.</x:t>
  </x:si>
  <x:si>
    <x:t xml:space="preserve">/blog/frontend-vs-backend-development</x:t>
  </x:si>
  <x:si>
    <x:t xml:space="preserve">Treat this as a landing asset, not a generic blog. Search intent = Development specialization choice. Primary conversion = comparison.</x:t>
  </x:si>
  <x:si>
    <x:t xml:space="preserve">PW-061</x:t>
  </x:si>
  <x:si>
    <x:t xml:space="preserve">Research, write, publish and optimize: How to Become Job Ready Before Graduation</x:t>
  </x:si>
  <x:si>
    <x:t xml:space="preserve">Capture student job-readiness plan search intent and move the reader toward roadmap.</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</x:si>
  <x:si>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roadmap, add Article/FAQ schema only where valid, preview on mobile and request indexing after publish.</x:t>
  </x:si>
  <x:si>
    <x:t xml:space="preserve">/blog/how-to-become-job-ready-before-graduation</x:t>
  </x:si>
  <x:si>
    <x:t xml:space="preserve">Treat this as a landing asset, not a generic blog. Search intent = Student job-readiness plan. Primary conversion = roadmap.</x:t>
  </x:si>
  <x:si>
    <x:t xml:space="preserve">PW-062</x:t>
  </x:si>
  <x:si>
    <x:t xml:space="preserve">Research, write, publish and optimize: How to Build a Resume Without Experience</x:t>
  </x:si>
  <x:si>
    <x:t xml:space="preserve">Capture fresher resume problem search intent and move the reader toward tool/signup.</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</x:si>
  <x:si>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tool/signup, add Article/FAQ schema only where valid, preview on mobile and request indexing after publish.</x:t>
  </x:si>
  <x:si>
    <x:t xml:space="preserve">/blog/resume-without-experience</x:t>
  </x:si>
  <x:si>
    <x:t xml:space="preserve">Treat this as a landing asset, not a generic blog. Search intent = Fresher resume problem. Primary conversion = tool/signup.</x:t>
  </x:si>
  <x:si>
    <x:t xml:space="preserve">PW-063</x:t>
  </x:si>
  <x:si>
    <x:t xml:space="preserve">Research, write, publish and optimize: How to Get an Internship Without Experience</x:t>
  </x:si>
  <x:si>
    <x:t xml:space="preserve">Capture first internship strategy search intent and move the reader toward roadmap.</x:t>
  </x:si>
  <x:si>
    <x:t xml:space="preserve">/blog/get-internship-without-experience</x:t>
  </x:si>
  <x:si>
    <x:t xml:space="preserve">Treat this as a landing asset, not a generic blog. Search intent = First internship strategy. Primary conversion = roadmap.</x:t>
  </x:si>
  <x:si>
    <x:t xml:space="preserve">PW-064</x:t>
  </x:si>
  <x:si>
    <x:t xml:space="preserve">Research, write, publish and optimize: How to Prepare for Campus Placements</x:t>
  </x:si>
  <x:si>
    <x:t xml:space="preserve">Capture placement preparation plan search intent and move the reader toward roadmap.</x:t>
  </x:si>
  <x:si>
    <x:t xml:space="preserve">/blog/campus-placement-preparation</x:t>
  </x:si>
  <x:si>
    <x:t xml:space="preserve">Treat this as a landing asset, not a generic blog. Search intent = Placement preparation plan. Primary conversion = roadmap.</x:t>
  </x:si>
  <x:si>
    <x:t xml:space="preserve">PW-065</x:t>
  </x:si>
  <x:si>
    <x:t xml:space="preserve">Research, write, publish and optimize: SQL Roadmap for Beginners</x:t>
  </x:si>
  <x:si>
    <x:t xml:space="preserve">Capture structured sql learning plan search intent and move the reader toward skill roadmap.</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</x:si>
  <x:si>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skill roadmap, add Article/FAQ schema only where valid, preview on mobile and request indexing after publish.</x:t>
  </x:si>
  <x:si>
    <x:t xml:space="preserve">/blog/sql-roadmap-for-beginners</x:t>
  </x:si>
  <x:si>
    <x:t xml:space="preserve">Treat this as a landing asset, not a generic blog. Search intent = Structured SQL learning plan. Primary conversion = skill roadmap.</x:t>
  </x:si>
  <x:si>
    <x:t xml:space="preserve">PW-066</x:t>
  </x:si>
  <x:si>
    <x:t xml:space="preserve">Research, write, publish and optimize: Python Roadmap for Beginners</x:t>
  </x:si>
  <x:si>
    <x:t xml:space="preserve">Capture structured python learning plan search intent and move the reader toward skill roadmap.</x:t>
  </x:si>
  <x:si>
    <x:t xml:space="preserve">/blog/python-roadmap-for-beginners</x:t>
  </x:si>
  <x:si>
    <x:t xml:space="preserve">Treat this as a landing asset, not a generic blog. Search intent = Structured Python learning plan. Primary conversion = skill roadmap.</x:t>
  </x:si>
  <x:si>
    <x:t xml:space="preserve">PW-067</x:t>
  </x:si>
  <x:si>
    <x:t xml:space="preserve">Research, write, publish and optimize: Data Analyst Projects for Beginners</x:t>
  </x:si>
  <x:si>
    <x:t xml:space="preserve">Capture portfolio project discovery search intent and move the reader toward projects.</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</x:si>
  <x:si>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projects, add Article/FAQ schema only where valid, preview on mobile and request indexing after publish.</x:t>
  </x:si>
  <x:si>
    <x:t xml:space="preserve">/blog/data-analyst-projects-for-beginners</x:t>
  </x:si>
  <x:si>
    <x:t xml:space="preserve">Treat this as a landing asset, not a generic blog. Search intent = Portfolio project discovery. Primary conversion = projects.</x:t>
  </x:si>
  <x:si>
    <x:t xml:space="preserve">PW-068</x:t>
  </x:si>
  <x:si>
    <x:t xml:space="preserve">Research, write, publish and optimize: AI Projects for Engineering Students</x:t>
  </x:si>
  <x:si>
    <x:t xml:space="preserve">Capture ai project discovery search intent and move the reader toward projects.</x:t>
  </x:si>
  <x:si>
    <x:t xml:space="preserve">/blog/ai-projects-for-engineering-students</x:t>
  </x:si>
  <x:si>
    <x:t xml:space="preserve">Treat this as a landing asset, not a generic blog. Search intent = AI project discovery. Primary conversion = projects.</x:t>
  </x:si>
  <x:si>
    <x:t xml:space="preserve">PW-069</x:t>
  </x:si>
  <x:si>
    <x:t xml:space="preserve">Research, write, publish and optimize: Will AI Replace Software Engineers?</x:t>
  </x:si>
  <x:si>
    <x:t xml:space="preserve">Capture ai impact decision support search intent and move the reader toward career page.</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</x:si>
  <x:si>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career page, add Article/FAQ schema only where valid, preview on mobile and request indexing after publish.</x:t>
  </x:si>
  <x:si>
    <x:t xml:space="preserve">/blog/will-ai-replace-software-engineers</x:t>
  </x:si>
  <x:si>
    <x:t xml:space="preserve">Treat this as a landing asset, not a generic blog. Search intent = AI impact decision support. Primary conversion = career page.</x:t>
  </x:si>
  <x:si>
    <x:t xml:space="preserve">PW-070</x:t>
  </x:si>
  <x:si>
    <x:t xml:space="preserve">Research, write, publish and optimize: What Skills Should Engineering Students Learn in the AI Era?</x:t>
  </x:si>
  <x:si>
    <x:t xml:space="preserve">Capture future-ready skill prioritization search intent and move the reader toward skills/assessment.</x:t>
  </x:si>
  <x:si>
    <x:t xml:space="preserve">Create a content brief using PW-041. Review live search intent before drafting. Write an answer-first article with a unique Pathwisse decision framework/example, cite authoritative sources for factual claims, add relevant career/skill/roadmap internal links, include one primary CTA to skills/assessment, add Article/FAQ schema only where valid, preview on mobile and request indexing after publish.</x:t>
  </x:si>
  <x:si>
    <x:t xml:space="preserve">/blog/skills-engineering-students-ai-era</x:t>
  </x:si>
  <x:si>
    <x:t xml:space="preserve">Treat this as a landing asset, not a generic blog. Search intent = Future-ready skill prioritization. Primary conversion = skills/assessment.</x:t>
  </x:si>
  <x:si>
    <x:t xml:space="preserve">PW-071</x:t>
  </x:si>
  <x:si>
    <x:t xml:space="preserve">Career Pages</x:t>
  </x:si>
  <x:si>
    <x:t xml:space="preserve">Create and publish Software Engineer career page</x:t>
  </x:si>
  <x:si>
    <x:t xml:space="preserve">Own high-intent discovery for the Software Engineer career entity and convert suitable students into assessment/roadmap exploration.</x:t>
  </x:si>
  <x:si>
    <x:t xml:space="preserve">Use Career Page template PW-032. Research actual search intent and authoritative role context. Populate unique responsibilities, skill map, tools, entry routes, projects, progression, AI impact, FAQs and related roles. Add Pathwisse roadmap preview and assessment CTA. Ensure narrative is role-specific and not generated boilerplate.</x:t>
  </x:si>
  <x:si>
    <x:t xml:space="preserve">Page passes content uniqueness review, metadata/canonical/schema checks, mobile/accessibility QA, has 5+ contextual internal links, is in sitemap, and CTA/event tracking works.</x:t>
  </x:si>
  <x:si>
    <x:t xml:space="preserve">PW-032,PW-031,PW-049</x:t>
  </x:si>
  <x:si>
    <x:t xml:space="preserve">Organic entrances, top-10 queries, assessment/roadmap CTR</x:t>
  </x:si>
  <x:si>
    <x:t xml:space="preserve">/careers/software-engineer</x:t>
  </x:si>
  <x:si>
    <x:t xml:space="preserve">Primary entity: Software Engineer. Link supporting blogs to this canonical career page.</x:t>
  </x:si>
  <x:si>
    <x:t xml:space="preserve">PW-072</x:t>
  </x:si>
  <x:si>
    <x:t xml:space="preserve">Create and publish Data Analyst career page</x:t>
  </x:si>
  <x:si>
    <x:t xml:space="preserve">Own high-intent discovery for the Data Analyst career entity and convert suitable students into assessment/roadmap exploration.</x:t>
  </x:si>
  <x:si>
    <x:t xml:space="preserve">/careers/data-analyst</x:t>
  </x:si>
  <x:si>
    <x:t xml:space="preserve">Primary entity: Data Analyst. Link supporting blogs to this canonical career page.</x:t>
  </x:si>
  <x:si>
    <x:t xml:space="preserve">PW-073</x:t>
  </x:si>
  <x:si>
    <x:t xml:space="preserve">Create and publish Business Analyst career page</x:t>
  </x:si>
  <x:si>
    <x:t xml:space="preserve">Own high-intent discovery for the Business Analyst career entity and convert suitable students into assessment/roadmap exploration.</x:t>
  </x:si>
  <x:si>
    <x:t xml:space="preserve">/careers/business-analyst</x:t>
  </x:si>
  <x:si>
    <x:t xml:space="preserve">Primary entity: Business Analyst. Link supporting blogs to this canonical career page.</x:t>
  </x:si>
  <x:si>
    <x:t xml:space="preserve">PW-074</x:t>
  </x:si>
  <x:si>
    <x:t xml:space="preserve">Create and publish AI Engineer career page</x:t>
  </x:si>
  <x:si>
    <x:t xml:space="preserve">Own high-intent discovery for the AI Engineer career entity and convert suitable students into assessment/roadmap exploration.</x:t>
  </x:si>
  <x:si>
    <x:t xml:space="preserve">/careers/ai-engineer</x:t>
  </x:si>
  <x:si>
    <x:t xml:space="preserve">Primary entity: AI Engineer. Link supporting blogs to this canonical career page.</x:t>
  </x:si>
  <x:si>
    <x:t xml:space="preserve">PW-075</x:t>
  </x:si>
  <x:si>
    <x:t xml:space="preserve">Create and publish Machine Learning Engineer career page</x:t>
  </x:si>
  <x:si>
    <x:t xml:space="preserve">Own high-intent discovery for the Machine Learning Engineer career entity and convert suitable students into assessment/roadmap exploration.</x:t>
  </x:si>
  <x:si>
    <x:t xml:space="preserve">/careers/machine-learning-engineer</x:t>
  </x:si>
  <x:si>
    <x:t xml:space="preserve">Primary entity: Machine Learning Engineer. Link supporting blogs to this canonical career page.</x:t>
  </x:si>
  <x:si>
    <x:t xml:space="preserve">PW-076</x:t>
  </x:si>
  <x:si>
    <x:t xml:space="preserve">Create and publish Product Manager career page</x:t>
  </x:si>
  <x:si>
    <x:t xml:space="preserve">Own high-intent discovery for the Product Manager career entity and convert suitable students into assessment/roadmap exploration.</x:t>
  </x:si>
  <x:si>
    <x:t xml:space="preserve">/careers/product-manager</x:t>
  </x:si>
  <x:si>
    <x:t xml:space="preserve">Primary entity: Product Manager. Link supporting blogs to this canonical career page.</x:t>
  </x:si>
  <x:si>
    <x:t xml:space="preserve">PW-077</x:t>
  </x:si>
  <x:si>
    <x:t xml:space="preserve">Create and publish Frontend Developer career page</x:t>
  </x:si>
  <x:si>
    <x:t xml:space="preserve">Own high-intent discovery for the Frontend Developer career entity and convert suitable students into assessment/roadmap exploration.</x:t>
  </x:si>
  <x:si>
    <x:t xml:space="preserve">/careers/frontend-developer</x:t>
  </x:si>
  <x:si>
    <x:t xml:space="preserve">Primary entity: Frontend Developer. Link supporting blogs to this canonical career page.</x:t>
  </x:si>
  <x:si>
    <x:t xml:space="preserve">PW-078</x:t>
  </x:si>
  <x:si>
    <x:t xml:space="preserve">Create and publish Backend Developer career page</x:t>
  </x:si>
  <x:si>
    <x:t xml:space="preserve">Own high-intent discovery for the Backend Developer career entity and convert suitable students into assessment/roadmap exploration.</x:t>
  </x:si>
  <x:si>
    <x:t xml:space="preserve">/careers/backend-developer</x:t>
  </x:si>
  <x:si>
    <x:t xml:space="preserve">Primary entity: Backend Developer. Link supporting blogs to this canonical career page.</x:t>
  </x:si>
  <x:si>
    <x:t xml:space="preserve">PW-079</x:t>
  </x:si>
  <x:si>
    <x:t xml:space="preserve">Create and publish Cloud Engineer career page</x:t>
  </x:si>
  <x:si>
    <x:t xml:space="preserve">Own high-intent discovery for the Cloud Engineer career entity and convert suitable students into assessment/roadmap exploration.</x:t>
  </x:si>
  <x:si>
    <x:t xml:space="preserve">/careers/cloud-engineer</x:t>
  </x:si>
  <x:si>
    <x:t xml:space="preserve">Primary entity: Cloud Engineer. Link supporting blogs to this canonical career page.</x:t>
  </x:si>
  <x:si>
    <x:t xml:space="preserve">PW-080</x:t>
  </x:si>
  <x:si>
    <x:t xml:space="preserve">Create and publish Cybersecurity Analyst career page</x:t>
  </x:si>
  <x:si>
    <x:t xml:space="preserve">Own high-intent discovery for the Cybersecurity Analyst career entity and convert suitable students into assessment/roadmap exploration.</x:t>
  </x:si>
  <x:si>
    <x:t xml:space="preserve">/careers/cybersecurity-analyst</x:t>
  </x:si>
  <x:si>
    <x:t xml:space="preserve">Primary entity: Cybersecurity Analyst. Link supporting blogs to this canonical career page.</x:t>
  </x:si>
  <x:si>
    <x:t xml:space="preserve">PW-081</x:t>
  </x:si>
  <x:si>
    <x:t xml:space="preserve">Create and publish UI/UX Designer career page</x:t>
  </x:si>
  <x:si>
    <x:t xml:space="preserve">Own high-intent discovery for the UI/UX Designer career entity and convert suitable students into assessment/roadmap exploration.</x:t>
  </x:si>
  <x:si>
    <x:t xml:space="preserve">/careers/ui-ux-designer</x:t>
  </x:si>
  <x:si>
    <x:t xml:space="preserve">Primary entity: UI/UX Designer. Link supporting blogs to this canonical career page.</x:t>
  </x:si>
  <x:si>
    <x:t xml:space="preserve">PW-082</x:t>
  </x:si>
  <x:si>
    <x:t xml:space="preserve">Create and publish Digital Marketer career page</x:t>
  </x:si>
  <x:si>
    <x:t xml:space="preserve">Own high-intent discovery for the Digital Marketer career entity and convert suitable students into assessment/roadmap exploration.</x:t>
  </x:si>
  <x:si>
    <x:t xml:space="preserve">/careers/digital-marketer</x:t>
  </x:si>
  <x:si>
    <x:t xml:space="preserve">Primary entity: Digital Marketer. Link supporting blogs to this canonical career page.</x:t>
  </x:si>
  <x:si>
    <x:t xml:space="preserve">PW-083</x:t>
  </x:si>
  <x:si>
    <x:t xml:space="preserve">Career Roadmaps</x:t>
  </x:si>
  <x:si>
    <x:t xml:space="preserve">Create 'How to Become a Software Engineer' roadmap page</x:t>
  </x:si>
  <x:si>
    <x:t xml:space="preserve">Capture how-to-become intent and move users into a structured Pathwisse roadmap.</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</x:si>
  <x:si>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Software Engineer career page.</x:t>
  </x:si>
  <x:si>
    <x:t xml:space="preserve">Unique phased roadmap is public and crawlable; each phase has actionable outputs; CTA starts/maps to correct Pathwisse roadmap; metadata/internal links/schema are valid; page is indexed/eligible.</x:t>
  </x:si>
  <x:si>
    <x:t xml:space="preserve">Roadmap organic traffic; roadmap-start conversion</x:t>
  </x:si>
  <x:si>
    <x:t xml:space="preserve">/roadmaps/software-engineer</x:t>
  </x:si>
  <x:si>
    <x:t xml:space="preserve">Do not duplicate the career page. This page answers the process: how to become a Software Engineer.</x:t>
  </x:si>
  <x:si>
    <x:t xml:space="preserve">PW-084</x:t>
  </x:si>
  <x:si>
    <x:t xml:space="preserve">Create 'How to Become a Data Analyst'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</x:si>
  <x:si>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Data Analyst career page.</x:t>
  </x:si>
  <x:si>
    <x:t xml:space="preserve">/roadmaps/data-analyst</x:t>
  </x:si>
  <x:si>
    <x:t xml:space="preserve">Do not duplicate the career page. This page answers the process: how to become a Data Analyst.</x:t>
  </x:si>
  <x:si>
    <x:t xml:space="preserve">PW-085</x:t>
  </x:si>
  <x:si>
    <x:t xml:space="preserve">Create 'How to Become a Business Analyst'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</x:si>
  <x:si>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Business Analyst career page.</x:t>
  </x:si>
  <x:si>
    <x:t xml:space="preserve">/roadmaps/business-analyst</x:t>
  </x:si>
  <x:si>
    <x:t xml:space="preserve">Do not duplicate the career page. This page answers the process: how to become a Business Analyst.</x:t>
  </x:si>
  <x:si>
    <x:t xml:space="preserve">PW-086</x:t>
  </x:si>
  <x:si>
    <x:t xml:space="preserve">Create 'How to Become a AI Engineer'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</x:si>
  <x:si>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AI Engineer career page.</x:t>
  </x:si>
  <x:si>
    <x:t xml:space="preserve">/roadmaps/ai-engineer</x:t>
  </x:si>
  <x:si>
    <x:t xml:space="preserve">Do not duplicate the career page. This page answers the process: how to become a AI Engineer.</x:t>
  </x:si>
  <x:si>
    <x:t xml:space="preserve">PW-087</x:t>
  </x:si>
  <x:si>
    <x:t xml:space="preserve">Create 'How to Become a Product Manager'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</x:si>
  <x:si>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Product Manager career page.</x:t>
  </x:si>
  <x:si>
    <x:t xml:space="preserve">/roadmaps/product-manager</x:t>
  </x:si>
  <x:si>
    <x:t xml:space="preserve">Do not duplicate the career page. This page answers the process: how to become a Product Manager.</x:t>
  </x:si>
  <x:si>
    <x:t xml:space="preserve">PW-088</x:t>
  </x:si>
  <x:si>
    <x:t xml:space="preserve">Create 'How to Become a Frontend Developer'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</x:si>
  <x:si>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Frontend Developer career page.</x:t>
  </x:si>
  <x:si>
    <x:t xml:space="preserve">/roadmaps/frontend-developer</x:t>
  </x:si>
  <x:si>
    <x:t xml:space="preserve">Do not duplicate the career page. This page answers the process: how to become a Frontend Developer.</x:t>
  </x:si>
  <x:si>
    <x:t xml:space="preserve">PW-089</x:t>
  </x:si>
  <x:si>
    <x:t xml:space="preserve">Create 'How to Become a Cloud Engineer'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</x:si>
  <x:si>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Cloud Engineer career page.</x:t>
  </x:si>
  <x:si>
    <x:t xml:space="preserve">/roadmaps/cloud-engineer</x:t>
  </x:si>
  <x:si>
    <x:t xml:space="preserve">Do not duplicate the career page. This page answers the process: how to become a Cloud Engineer.</x:t>
  </x:si>
  <x:si>
    <x:t xml:space="preserve">PW-090</x:t>
  </x:si>
  <x:si>
    <x:t xml:space="preserve">Create 'How to Become a Cybersecurity Analyst' roadmap page</x:t>
  </x:si>
  <x:si>
    <x:t xml:space="preserve">Use PW-033. Define prerequisite check, sequential phases, skills, milestone projects, estimated sequence, readiness checkpoints, common mistakes and next action. Use Pathwisse's internal roadmap/taxonomy as the factual product basis, then add public explanatory narrative and links to the canonical Cybersecurity Analyst career page.</x:t>
  </x:si>
  <x:si>
    <x:t xml:space="preserve">/roadmaps/cybersecurity-analyst</x:t>
  </x:si>
  <x:si>
    <x:t xml:space="preserve">Do not duplicate the career page. This page answers the process: how to become a Cybersecurity Analyst.</x:t>
  </x:si>
  <x:si>
    <x:t xml:space="preserve">PW-091</x:t>
  </x:si>
  <x:si>
    <x:t xml:space="preserve">Comparison Pages</x:t>
  </x:si>
  <x:si>
    <x:t xml:space="preserve">Create Data Analyst vs Data Scientist comparison page</x:t>
  </x:si>
  <x:si>
    <x:t xml:space="preserve">Help students make a concrete decision between Data Analyst and Data Scientist and route them to the right next step.</x:t>
  </x:si>
  <x:si>
    <x:t xml:space="preserve">Use PW-035. Compare daily work, coding/math intensity, entry barrier, core skills, typical projects, career progression, AI exposure, who each role suits, and a decision rubric. Link to both career pages/roadmaps. Do not rely only on salary.</x:t>
  </x:si>
  <x:si>
    <x:t xml:space="preserve">Comparison contains a clear decision framework, unique table, 'choose X if...' guidance, linked canonical career entities, tracked assessment CTA, valid metadata/schema and no overlap with support blog intent.</x:t>
  </x:si>
  <x:si>
    <x:t xml:space="preserve">Comparison→assessment CTR; rankings for vs queries</x:t>
  </x:si>
  <x:si>
    <x:t xml:space="preserve">/compare/data-analyst-vs-data-scientist</x:t>
  </x:si>
  <x:si>
    <x:t xml:space="preserve">This is the canonical decision page; any comparison blog should either redirect/consolidate or serve a distinct long-tail angle.</x:t>
  </x:si>
  <x:si>
    <x:t xml:space="preserve">PW-092</x:t>
  </x:si>
  <x:si>
    <x:t xml:space="preserve">Create Data Analyst vs Business Analyst comparison page</x:t>
  </x:si>
  <x:si>
    <x:t xml:space="preserve">Help students make a concrete decision between Data Analyst and Business Analyst and route them to the right next step.</x:t>
  </x:si>
  <x:si>
    <x:t xml:space="preserve">/compare/data-analyst-vs-business-analyst</x:t>
  </x:si>
  <x:si>
    <x:t xml:space="preserve">PW-093</x:t>
  </x:si>
  <x:si>
    <x:t xml:space="preserve">Create Product Manager vs Business Analyst comparison page</x:t>
  </x:si>
  <x:si>
    <x:t xml:space="preserve">Help students make a concrete decision between Product Manager and Business Analyst and route them to the right next step.</x:t>
  </x:si>
  <x:si>
    <x:t xml:space="preserve">/compare/product-manager-vs-business-analyst</x:t>
  </x:si>
  <x:si>
    <x:t xml:space="preserve">PW-094</x:t>
  </x:si>
  <x:si>
    <x:t xml:space="preserve">Create Frontend Developer vs Backend Developer comparison page</x:t>
  </x:si>
  <x:si>
    <x:t xml:space="preserve">Help students make a concrete decision between Frontend Developer and Backend Developer and route them to the right next step.</x:t>
  </x:si>
  <x:si>
    <x:t xml:space="preserve">/compare/frontend-developer-vs-backend-developer</x:t>
  </x:si>
  <x:si>
    <x:t xml:space="preserve">PW-095</x:t>
  </x:si>
  <x:si>
    <x:t xml:space="preserve">Create AI Engineer vs Machine Learning Engineer comparison page</x:t>
  </x:si>
  <x:si>
    <x:t xml:space="preserve">Help students make a concrete decision between AI Engineer and Machine Learning Engineer and route them to the right next step.</x:t>
  </x:si>
  <x:si>
    <x:t xml:space="preserve">/compare/ai-engineer-vs-machine-learning-engineer</x:t>
  </x:si>
  <x:si>
    <x:t xml:space="preserve">PW-096</x:t>
  </x:si>
  <x:si>
    <x:t xml:space="preserve">Create Cloud Engineer vs DevOps Engineer comparison page</x:t>
  </x:si>
  <x:si>
    <x:t xml:space="preserve">Help students make a concrete decision between Cloud Engineer and DevOps Engineer and route them to the right next step.</x:t>
  </x:si>
  <x:si>
    <x:t xml:space="preserve">/compare/cloud-engineer-vs-devops-engineer</x:t>
  </x:si>
  <x:si>
    <x:t xml:space="preserve">PW-097</x:t>
  </x:si>
  <x:si>
    <x:t xml:space="preserve">GEO/AEO</x:t>
  </x:si>
  <x:si>
    <x:t xml:space="preserve">Adopt answer-first content pattern on priority pages</x:t>
  </x:si>
  <x:si>
    <x:t xml:space="preserve">Make key answers easy for search engines and AI assistants to extract and cite.</x:t>
  </x:si>
  <x:si>
    <x:t xml:space="preserve">For each priority career, roadmap, comparison and article page, add a concise direct answer/summary near the top, followed by structured evidence, tables/lists and deeper explanation. Keep visible content aligned with metadata and schema.</x:t>
  </x:si>
  <x:si>
    <x:t xml:space="preserve">Top 50 pages have clear answer block, semantic headings and self-contained key facts; no hidden answer text or schema-only claims.</x:t>
  </x:si>
  <x:si>
    <x:t xml:space="preserve">PW-032,PW-033,PW-040</x:t>
  </x:si>
  <x:si>
    <x:t xml:space="preserve">AI referral/citation observations; featured result visibility</x:t>
  </x:si>
  <x:si>
    <x:t xml:space="preserve">Optimize for human comprehension first; extraction-friendly structure is the by-product.</x:t>
  </x:si>
  <x:si>
    <x:t xml:space="preserve">PW-098</x:t>
  </x:si>
  <x:si>
    <x:t xml:space="preserve">Add source transparency and citation blocks</x:t>
  </x:si>
  <x:si>
    <x:t xml:space="preserve">Increase trust and make factual claims easier to verify.</x:t>
  </x:si>
  <x:si>
    <x:t xml:space="preserve">For research-heavy pages, show Sources/Methodology section with authoritative links, publication/updated dates and clear distinction between external facts and Pathwisse interpretation. Keep citations close to consequential claims where appropriate.</x:t>
  </x:si>
  <x:si>
    <x:t xml:space="preserve">Priority research pages expose visible sources; broken-source checks exist; no significant market/salary/AI claims lack traceable evidence.</x:t>
  </x:si>
  <x:si>
    <x:t xml:space="preserve">Source coverage; trust/engagement signals</x:t>
  </x:si>
  <x:si>
    <x:t xml:space="preserve">Do not over-cite obvious product statements; focus on externally verifiable claims.</x:t>
  </x:si>
  <x:si>
    <x:t xml:space="preserve">PW-099</x:t>
  </x:si>
  <x:si>
    <x:t xml:space="preserve">Create consistent Pathwisse entity/organization facts</x:t>
  </x:si>
  <x:si>
    <x:t xml:space="preserve">Reduce conflicting descriptions of Pathwisse across pages and machine-readable metadata.</x:t>
  </x:si>
  <x:si>
    <x:t xml:space="preserve">Define canonical organization name, product description, website, logo, social profiles, founding/company wording, contact/about references and core product claims. Reuse in About, footer, Organization schema and authoring guidance.</x:t>
  </x:si>
  <x:si>
    <x:t xml:space="preserve">Public site presents one consistent entity description; Organization schema matches visible content; no contradictory company/product naming across priority pages.</x:t>
  </x:si>
  <x:si>
    <x:t xml:space="preserve">Entity consistency audit pass</x:t>
  </x:si>
  <x:si>
    <x:t xml:space="preserve">Only include facts the company can substantiate.</x:t>
  </x:si>
  <x:si>
    <x:t xml:space="preserve">PW-100</x:t>
  </x:si>
  <x:si>
    <x:t xml:space="preserve">Publish AI-readable FAQ blocks where questions are genuine</x:t>
  </x:si>
  <x:si>
    <x:t xml:space="preserve">Answer recurring student questions clearly without manufacturing schema bait.</x:t>
  </x:si>
  <x:si>
    <x:t xml:space="preserve">Select real FAQ questions from search queries, support, webinar and student conversations. Add concise answers on relevant pages. Apply FAQ schema only when the visible page actually contains the FAQ and current search-engine guidelines allow value.</x:t>
  </x:si>
  <x:si>
    <x:t xml:space="preserve">FAQs are unique/relevant; answers are visible; schema validates when used; FAQ content does not duplicate entire articles.</x:t>
  </x:si>
  <x:si>
    <x:t xml:space="preserve">PW-011,PW-097</x:t>
  </x:si>
  <x:si>
    <x:t xml:space="preserve">Long-tail impressions; engagement</x:t>
  </x:si>
  <x:si>
    <x:t xml:space="preserve">FAQ schema is not guaranteed to create rich results; content value is the goal.</x:t>
  </x:si>
  <x:si>
    <x:t xml:space="preserve">PW-101</x:t>
  </x:si>
  <x:si>
    <x:t xml:space="preserve">Create original Pathwisse Career Readiness dataset/report</x:t>
  </x:si>
  <x:si>
    <x:t xml:space="preserve">Develop proprietary evidence that other sites and AI systems can cite.</x:t>
  </x:si>
  <x:si>
    <x:t xml:space="preserve">Define methodology, privacy-safe sample requirements and metrics using Pathwisse student activity where legally/ethically appropriate. Publish an annual/quarterly report with charts, methodology, definitions and downloadable summary. Avoid publishing identifiable student data.</x:t>
  </x:si>
  <x:si>
    <x:t xml:space="preserve">Report contains original aggregated data, transparent methodology, date/sample scope, reproducible metric definitions, citations to relevant external context and a press/linkable landing page.</x:t>
  </x:si>
  <x:si>
    <x:t xml:space="preserve">XL</x:t>
  </x:si>
  <x:si>
    <x:t xml:space="preserve">PW-012,PW-042</x:t>
  </x:si>
  <x:si>
    <x:t xml:space="preserve">Backlinks, mentions, AI citations, report downloads</x:t>
  </x:si>
  <x:si>
    <x:t xml:space="preserve">/research/career-readiness-report</x:t>
  </x:si>
  <x:si>
    <x:t xml:space="preserve">Do not publish until sample/methodology is defensible.</x:t>
  </x:si>
  <x:si>
    <x:t xml:space="preserve">PW-102</x:t>
  </x:si>
  <x:si>
    <x:t xml:space="preserve">Create Student Career Confusion Index methodology</x:t>
  </x:si>
  <x:si>
    <x:t xml:space="preserve">Turn Pathwisse's core problem into an ownable, repeatable research asset.</x:t>
  </x:si>
  <x:si>
    <x:t xml:space="preserve">Design a scoring model using assessment responses or survey data: confidence, role clarity, skill clarity, action clarity and decision conflict. Validate questions/weights, anonymize data and document limitations.</x:t>
  </x:si>
  <x:si>
    <x:t xml:space="preserve">Methodology can be explained publicly; score can be reproduced; privacy review passes; first pilot dataset produces interpretable results.</x:t>
  </x:si>
  <x:si>
    <x:t xml:space="preserve">Report citations + partnership interest</x:t>
  </x:si>
  <x:si>
    <x:t xml:space="preserve">Treat as research/product metric, not a diagnostic or psychological instrument.</x:t>
  </x:si>
  <x:si>
    <x:t xml:space="preserve">PW-103</x:t>
  </x:si>
  <x:si>
    <x:t xml:space="preserve">Evaluate and publish llms.txt as an experiment</x:t>
  </x:si>
  <x:si>
    <x:t xml:space="preserve">Provide a machine-oriented directory without pretending it is a ranking standard.</x:t>
  </x:si>
  <x:si>
    <x:t xml:space="preserve">If technically easy, create /llms.txt listing canonical high-value public resources and organization description. Keep it generated from the same URL source as sitemap. Document that it is experimental and not relied on for discoverability.</x:t>
  </x:si>
  <x:si>
    <x:t xml:space="preserve">File is valid plain text, contains only canonical public URLs, stays synchronized and introduces no indexation dependency.</x:t>
  </x:si>
  <x:si>
    <x:t xml:space="preserve">PW-018,PW-099</x:t>
  </x:si>
  <x:si>
    <x:t xml:space="preserve">Experimental crawl/referral observations</x:t>
  </x:si>
  <x:si>
    <x:t xml:space="preserve">/llms.txt</x:t>
  </x:si>
  <x:si>
    <x:t xml:space="preserve">Do not present llms.txt as a proven SEO ranking factor.</x:t>
  </x:si>
  <x:si>
    <x:t xml:space="preserve">PW-104</x:t>
  </x:si>
  <x:si>
    <x:t xml:space="preserve">Structured Data</x:t>
  </x:si>
  <x:si>
    <x:t xml:space="preserve">Implement Organization + WebSite schema</x:t>
  </x:si>
  <x:si>
    <x:t xml:space="preserve">Give machines consistent top-level entity information.</x:t>
  </x:si>
  <x:si>
    <x:t xml:space="preserve">Add JSON-LD for Organization and WebSite using only visible, verified facts. Include canonical URL, logo and sameAs profiles where official. Centralize schema generation.</x:t>
  </x:si>
  <x:si>
    <x:t xml:space="preserve">Schema validates; values match visible site/company information; no warnings caused by fabricated optional fields.</x:t>
  </x:si>
  <x:si>
    <x:t xml:space="preserve">Schema validation pass</x:t>
  </x:si>
  <x:si>
    <x:t xml:space="preserve">One authoritative schema implementation, not duplicated components.</x:t>
  </x:si>
  <x:si>
    <x:t xml:space="preserve">PW-105</x:t>
  </x:si>
  <x:si>
    <x:t xml:space="preserve">Implement Breadcrumb schema</x:t>
  </x:si>
  <x:si>
    <x:t xml:space="preserve">Clarify hierarchy for career, roadmap, skill, blog and comparison pages.</x:t>
  </x:si>
  <x:si>
    <x:t xml:space="preserve">Generate visible breadcrumbs and matching BreadcrumbList JSON-LD from canonical route hierarchy. Ensure URLs are canonical and item order is correct.</x:t>
  </x:si>
  <x:si>
    <x:t xml:space="preserve">Breadcrumbs are visible/usable; schema validates on all supported templates; no breadcrumb points to non-existent pages.</x:t>
  </x:si>
  <x:si>
    <x:t xml:space="preserve">Breadcrumb schema coverage</x:t>
  </x:si>
  <x:si>
    <x:t xml:space="preserve">Visible UX and schema must agree.</x:t>
  </x:si>
  <x:si>
    <x:t xml:space="preserve">PW-106</x:t>
  </x:si>
  <x:si>
    <x:t xml:space="preserve">Implement Article schema for blog posts</x:t>
  </x:si>
  <x:si>
    <x:t xml:space="preserve">Expose article metadata accurately to crawlers.</x:t>
  </x:si>
  <x:si>
    <x:t xml:space="preserve">Generate BlogPosting/Article JSON-LD from article record: headline, dates, author, image, publisher, canonical URL. Update dateModified only on meaningful content changes.</x:t>
  </x:si>
  <x:si>
    <x:t xml:space="preserve">All published articles validate; author/publisher entities resolve; date fields match visible content.</x:t>
  </x:si>
  <x:si>
    <x:t xml:space="preserve">PW-040,PW-045</x:t>
  </x:si>
  <x:si>
    <x:t xml:space="preserve">100% published articles valid Article schema</x:t>
  </x:si>
  <x:si>
    <x:t xml:space="preserve">Do not manipulate dates on every deployment.</x:t>
  </x:si>
  <x:si>
    <x:t xml:space="preserve">PW-107</x:t>
  </x:si>
  <x:si>
    <x:t xml:space="preserve">Implement learning/content schema only where semantically valid</x:t>
  </x:si>
  <x:si>
    <x:t xml:space="preserve">Describe educational resources without mislabeling marketing pages.</x:t>
  </x:si>
  <x:si>
    <x:t xml:space="preserve">Evaluate Course, EducationalOccupationalProgram, DefinedTerm or other supported schema per template. Use schema only when the visible page satisfies the type's meaning and required properties.</x:t>
  </x:si>
  <x:si>
    <x:t xml:space="preserve">Chosen schemas validate and accurately describe visible content; no broad site-wide schema spam.</x:t>
  </x:si>
  <x:si>
    <x:t xml:space="preserve">PW-033,PW-034</x:t>
  </x:si>
  <x:si>
    <x:t xml:space="preserve">Valid schema on eligible learning pages</x:t>
  </x:si>
  <x:si>
    <x:t xml:space="preserve">Schema is descriptive, not a keyword container.</x:t>
  </x:si>
  <x:si>
    <x:t xml:space="preserve">PW-108</x:t>
  </x:si>
  <x:si>
    <x:t xml:space="preserve">Conversion</x:t>
  </x:si>
  <x:si>
    <x:t xml:space="preserve">CRO</x:t>
  </x:si>
  <x:si>
    <x:t xml:space="preserve">Define one primary CTA by page intent</x:t>
  </x:si>
  <x:si>
    <x:t xml:space="preserve">Make the next step obvious and measurable.</x:t>
  </x:si>
  <x:si>
    <x:t xml:space="preserve">Create CTA mapping by template: career→assessment/roadmap, roadmap→start roadmap, comparison→assessment, skill→start learning, project→add/start project, blog→intent-specific next step. Define secondary CTA rules.</x:t>
  </x:si>
  <x:si>
    <x:t xml:space="preserve">Every priority template has one primary CTA with event name/property convention; conflicting CTAs are removed or demoted.</x:t>
  </x:si>
  <x:si>
    <x:t xml:space="preserve">PW-012,PW-032,PW-040</x:t>
  </x:si>
  <x:si>
    <x:t xml:space="preserve">Primary CTA CTR + downstream conversion</x:t>
  </x:si>
  <x:si>
    <x:t xml:space="preserve">Do not optimize only clicks; measure completed assessment/signup/roadmap actions.</x:t>
  </x:si>
  <x:si>
    <x:t xml:space="preserve">PW-109</x:t>
  </x:si>
  <x:si>
    <x:t xml:space="preserve">Build career-assessment landing flow</x:t>
  </x:si>
  <x:si>
    <x:t xml:space="preserve">Convert career-confusion traffic into a high-value product experience.</x:t>
  </x:si>
  <x:si>
    <x:t xml:space="preserve">Create public landing page explaining what assessment helps with, expected time, privacy expectations and sample outputs. Minimize pre-assessment signup friction; decide when identity is required based on product needs.</x:t>
  </x:si>
  <x:si>
    <x:t xml:space="preserve">Landing→assessment start is tracked; assessment can be started reliably; result next step links to relevant career/roadmap; mobile flow is tested.</x:t>
  </x:si>
  <x:si>
    <x:t xml:space="preserve">Assessment start rate; completion rate; signup after result</x:t>
  </x:si>
  <x:si>
    <x:t xml:space="preserve">/career-assessment</x:t>
  </x:si>
  <x:si>
    <x:t xml:space="preserve">Deliver value before aggressive gating.</x:t>
  </x:si>
  <x:si>
    <x:t xml:space="preserve">PW-110</x:t>
  </x:si>
  <x:si>
    <x:t xml:space="preserve">Add sticky/contextual CTA to long-form mobile pages</x:t>
  </x:si>
  <x:si>
    <x:t xml:space="preserve">Reduce lost conversions on long career/blog pages.</x:t>
  </x:si>
  <x:si>
    <x:t xml:space="preserve">Design a non-obstructive sticky CTA on mobile after user engagement threshold, with dismiss behavior and no overlap with cookie/chat/navigation controls. A/B test against control.</x:t>
  </x:si>
  <x:si>
    <x:t xml:space="preserve">CTA does not harm CLS/accessibility; tracked experiment runs; conversion impact is measured by downstream action.</x:t>
  </x:si>
  <x:si>
    <x:t xml:space="preserve">Incremental downstream conversion</x:t>
  </x:si>
  <x:si>
    <x:t xml:space="preserve">Avoid permanent full-width overlays that damage reading.</x:t>
  </x:si>
  <x:si>
    <x:t xml:space="preserve">PW-111</x:t>
  </x:si>
  <x:si>
    <x:t xml:space="preserve">Experimentation</x:t>
  </x:si>
  <x:si>
    <x:t xml:space="preserve">Create SEO landing-page experiment framework</x:t>
  </x:si>
  <x:si>
    <x:t xml:space="preserve">Improve conversion without changing URLs/content in ways that destabilize rankings.</x:t>
  </x:si>
  <x:si>
    <x:t xml:space="preserve">Define safe experiments for CTA copy/placement, hero framing, proof, assessment teaser and related modules. Keep canonical content stable and avoid cloaking. Track experiment assignment and downstream outcome.</x:t>
  </x:si>
  <x:si>
    <x:t xml:space="preserve">Experiments can run with consistent user assignment and primary metric; search crawlers are not served deceptive variants.</x:t>
  </x:si>
  <x:si>
    <x:t xml:space="preserve">PW-012,PW-108</x:t>
  </x:si>
  <x:si>
    <x:t xml:space="preserve">Experiment lift in signup/assessment</x:t>
  </x:si>
  <x:si>
    <x:t xml:space="preserve">Prioritize meaningful hypotheses over button-color tests.</x:t>
  </x:si>
  <x:si>
    <x:t xml:space="preserve">PW-112</x:t>
  </x:si>
  <x:si>
    <x:t xml:space="preserve">Scale</x:t>
  </x:si>
  <x:si>
    <x:t xml:space="preserve">Programmatic SEO</x:t>
  </x:si>
  <x:si>
    <x:t xml:space="preserve">Define page-quality gate before programmatic publishing</x:t>
  </x:si>
  <x:si>
    <x:t xml:space="preserve">Avoid thousands of thin pages that dilute crawl quality and brand trust.</x:t>
  </x:si>
  <x:si>
    <x:t xml:space="preserve">Create minimum data requirements per template: unique facts/relationships, required sections, source coverage, internal links, CTA, word/section diversity and indexability decision. Pages failing gate remain unpublished/noindex.</x:t>
  </x:si>
  <x:si>
    <x:t xml:space="preserve">Quality gate can be evaluated automatically + editorially; thin records do not enter sitemap; reasons for rejection are logged.</x:t>
  </x:si>
  <x:si>
    <x:t xml:space="preserve">PW-031,PW-032,PW-034</x:t>
  </x:si>
  <x:si>
    <x:t xml:space="preserve">% generated pages passing quality gate</x:t>
  </x:si>
  <x:si>
    <x:t xml:space="preserve">Scale only after manual pilot templates rank and convert.</x:t>
  </x:si>
  <x:si>
    <x:t xml:space="preserve">PW-113</x:t>
  </x:si>
  <x:si>
    <x:t xml:space="preserve">Build taxonomy-to-page generation pipeline</x:t>
  </x:si>
  <x:si>
    <x:t xml:space="preserve">Turn Pathwisse's structured career/skill data into maintainable public pages.</x:t>
  </x:si>
  <x:si>
    <x:t xml:space="preserve">Create build/runtime data pipeline from approved taxonomy to canonical page records. Include slug stability, update handling, publish flag, metadata generation, relationships and sitemap feed. Add test fixtures for duplicates/missing fields.</x:t>
  </x:si>
  <x:si>
    <x:t xml:space="preserve">Approved records generate deterministic pages; duplicate slugs fail build/check; updates do not unintentionally change URLs; unpublished records stay inaccessible/noindex.</x:t>
  </x:si>
  <x:si>
    <x:t xml:space="preserve">Generated page QA pass rate</x:t>
  </x:si>
  <x:si>
    <x:t xml:space="preserve">Prefer deterministic structured generation over unconstrained LLM page generation.</x:t>
  </x:si>
  <x:si>
    <x:t xml:space="preserve">PW-114</x:t>
  </x:si>
  <x:si>
    <x:t xml:space="preserve">Build internal-link graph from entity relationships</x:t>
  </x:si>
  <x:si>
    <x:t xml:space="preserve">Ensure scaled pages are discoverable and useful rather than isolated.</x:t>
  </x:si>
  <x:si>
    <x:t xml:space="preserve">Generate related careers, skills, projects, roadmaps and comparisons based on explicit taxonomy relationships and relevance scoring. Add caps to avoid giant link blocks.</x:t>
  </x:si>
  <x:si>
    <x:t xml:space="preserve">Scaled pages receive relevant inbound/outbound links; orphan count approaches zero; modules do not repeat irrelevant generic links.</x:t>
  </x:si>
  <x:si>
    <x:t xml:space="preserve">PW-113,PW-024</x:t>
  </x:si>
  <x:si>
    <x:t xml:space="preserve">Orphan pages; internal link CTR</x:t>
  </x:si>
  <x:si>
    <x:t xml:space="preserve">Relevance beats maximum link count.</x:t>
  </x:si>
  <x:si>
    <x:t xml:space="preserve">PW-115</x:t>
  </x:si>
  <x:si>
    <x:t xml:space="preserve">Implement indexation throttling for new page batches</x:t>
  </x:si>
  <x:si>
    <x:t xml:space="preserve">Protect crawl quality when scaling from dozens to thousands of URLs.</x:t>
  </x:si>
  <x:si>
    <x:t xml:space="preserve">Release in measured batches. Monitor GSC discovered/crawled/indexed, crawl errors, quality signals and traffic before expanding. Keep low-value pages noindex/unpublished until validated.</x:t>
  </x:si>
  <x:si>
    <x:t xml:space="preserve">Each batch has pre/post metrics and go/no-go review; scale pauses automatically/manual if indexation quality or crawl errors deteriorate.</x:t>
  </x:si>
  <x:si>
    <x:t xml:space="preserve">PW-112,PW-113</x:t>
  </x:si>
  <x:si>
    <x:t xml:space="preserve">Indexed/published ratio; crawl errors</x:t>
  </x:si>
  <x:si>
    <x:t xml:space="preserve">Do not dump the entire taxonomy into the index at once.</x:t>
  </x:si>
  <x:si>
    <x:t xml:space="preserve">PW-116</x:t>
  </x:si>
  <x:si>
    <x:t xml:space="preserve">Authority</x:t>
  </x:si>
  <x:si>
    <x:t xml:space="preserve">Backlinks</x:t>
  </x:si>
  <x:si>
    <x:t xml:space="preserve">Create linkable statistics/research hub</x:t>
  </x:si>
  <x:si>
    <x:t xml:space="preserve">Earn links through useful original data rather than paid low-quality link schemes.</x:t>
  </x:si>
  <x:si>
    <x:t xml:space="preserve">Create /research or /statistics hub for Pathwisse reports, methodology, charts and quotable findings. Provide stable anchors/URLs and downloadable assets.</x:t>
  </x:si>
  <x:si>
    <x:t xml:space="preserve">Hub contains at least one original research asset with methodology; outreach can link directly to specific findings; analytics tracks referring domains.</x:t>
  </x:si>
  <x:si>
    <x:t xml:space="preserve">Referring domains; report citations</x:t>
  </x:si>
  <x:si>
    <x:t xml:space="preserve">/research</x:t>
  </x:si>
  <x:si>
    <x:t xml:space="preserve">Build assets worth citing before outreach.</x:t>
  </x:si>
  <x:si>
    <x:t xml:space="preserve">PW-117</x:t>
  </x:si>
  <x:si>
    <x:t xml:space="preserve">Partnership Content</x:t>
  </x:si>
  <x:si>
    <x:t xml:space="preserve">Build college/mentor expert contribution workflow</x:t>
  </x:si>
  <x:si>
    <x:t xml:space="preserve">Add credible first-hand insights and distribution partners.</x:t>
  </x:si>
  <x:si>
    <x:t xml:space="preserve">Invite mentors/TPOs/industry practitioners to contribute reviewed quotes, career insights or interviews. Obtain permission, show attribution and link to contributor profile/organization where appropriate.</x:t>
  </x:si>
  <x:si>
    <x:t xml:space="preserve">Contributions have documented consent, visible attribution and editorial review; priority career pages gain real expert insight without becoming advertorials.</x:t>
  </x:si>
  <x:si>
    <x:t xml:space="preserve">Expert contributions; partner shares/backlinks</x:t>
  </x:si>
  <x:si>
    <x:t xml:space="preserve">Do not invent expert quotes.</x:t>
  </x:si>
  <x:si>
    <x:t xml:space="preserve">PW-118</x:t>
  </x:si>
  <x:si>
    <x:t xml:space="preserve">Distribution</x:t>
  </x:si>
  <x:si>
    <x:t xml:space="preserve">Content Repurposing</x:t>
  </x:si>
  <x:si>
    <x:t xml:space="preserve">Create one-to-many content distribution workflow</x:t>
  </x:si>
  <x:si>
    <x:t xml:space="preserve">Extract more reach from each high-quality article without producing unrelated content volume.</x:t>
  </x:si>
  <x:si>
    <x:t xml:space="preserve">For each priority article create 1 LinkedIn post, 1 carousel/reel concept, 1 short video script, 1 WhatsApp/community summary and optional email snippet. Use the canonical article as source and link when helpful.</x:t>
  </x:si>
  <x:si>
    <x:t xml:space="preserve">Repurposed assets retain the article's core insight, use channel-native hooks, avoid copy-paste duplication and are tracked by campaign/UTM.</x:t>
  </x:si>
  <x:si>
    <x:t xml:space="preserve">PW-044,PW-013</x:t>
  </x:si>
  <x:si>
    <x:t xml:space="preserve">Referral sessions + assisted conversions</x:t>
  </x:si>
  <x:si>
    <x:t xml:space="preserve">Distribution follows publishing; it should not delay the canonical asset.</x:t>
  </x:si>
  <x:si>
    <x:t xml:space="preserve">PW-119</x:t>
  </x:si>
  <x:si>
    <x:t xml:space="preserve">Outreach</x:t>
  </x:si>
  <x:si>
    <x:t xml:space="preserve">Create digital PR/outreach list for original Pathwisse research</x:t>
  </x:si>
  <x:si>
    <x:t xml:space="preserve">Convert research assets into relevant backlinks and citations.</x:t>
  </x:si>
  <x:si>
    <x:t xml:space="preserve">Build a targeted list of education, careers, HR, student, startup and technology journalists/newsletters/resource sites. Personalize outreach around one specific finding/tool, not generic link requests.</x:t>
  </x:si>
  <x:si>
    <x:t xml:space="preserve">Outreach list has contact/source relevance, pitch angle and status; responses/links are tracked; no automated spam blast.</x:t>
  </x:si>
  <x:si>
    <x:t xml:space="preserve">Phase 5</x:t>
  </x:si>
  <x:si>
    <x:t xml:space="preserve">PW-101,PW-116</x:t>
  </x:si>
  <x:si>
    <x:t xml:space="preserve">Earned referring domains</x:t>
  </x:si>
  <x:si>
    <x:t xml:space="preserve">Quality and relevance over volume.</x:t>
  </x:si>
  <x:si>
    <x:t xml:space="preserve">PW-120</x:t>
  </x:si>
  <x:si>
    <x:t xml:space="preserve">Operations</x:t>
  </x:si>
  <x:si>
    <x:t xml:space="preserve">SEO Operations</x:t>
  </x:si>
  <x:si>
    <x:t xml:space="preserve">Create weekly Search Console opportunity review</x:t>
  </x:si>
  <x:si>
    <x:t xml:space="preserve">Turn real query data into an improvement loop.</x:t>
  </x:si>
  <x:si>
    <x:t xml:space="preserve">Each week review pages with high impressions/low CTR, positions 4-15, new query themes, indexing issues and declining winners. Create specific optimization tasks with owner and hypothesis.</x:t>
  </x:si>
  <x:si>
    <x:t xml:space="preserve">Weekly review produces prioritized actions; changes are logged against affected URL; outcomes are checked after enough data accumulates.</x:t>
  </x:si>
  <x:si>
    <x:t xml:space="preserve">PW-011,PW-015</x:t>
  </x:si>
  <x:si>
    <x:t xml:space="preserve">CTR lift; queries moving into top 10</x:t>
  </x:si>
  <x:si>
    <x:t xml:space="preserve">Avoid changing pages every few days; allow meaningful measurement windows.</x:t>
  </x:si>
  <x:si>
    <x:t xml:space="preserve">PW-121</x:t>
  </x:si>
  <x:si>
    <x:t xml:space="preserve">Content Refresh</x:t>
  </x:si>
  <x:si>
    <x:t xml:space="preserve">Create 30/60/90-day content refresh workflow</x:t>
  </x:si>
  <x:si>
    <x:t xml:space="preserve">Improve pages based on evidence rather than continuously publishing new ones.</x:t>
  </x:si>
  <x:si>
    <x:t xml:space="preserve">At 30/60/90 days review impressions, CTR, rank distribution, engagement, CTA conversion and competing SERP changes. Decide: keep, retitle, expand, consolidate, redirect or update sources/examples.</x:t>
  </x:si>
  <x:si>
    <x:t xml:space="preserve">Every priority page has next review date and recorded decision; updates are tied to observed problem; material updates refresh visible modified date.</x:t>
  </x:si>
  <x:si>
    <x:t xml:space="preserve">PW-015,PW-044</x:t>
  </x:si>
  <x:si>
    <x:t xml:space="preserve">Organic growth per refreshed page</x:t>
  </x:si>
  <x:si>
    <x:t xml:space="preserve">Do not change published dates unless content materially changes.</x:t>
  </x:si>
  <x:si>
    <x:t xml:space="preserve">PW-122</x:t>
  </x:si>
  <x:si>
    <x:t xml:space="preserve">SEO QA</x:t>
  </x:si>
  <x:si>
    <x:t xml:space="preserve">Automate pre-release SEO regression checks</x:t>
  </x:si>
  <x:si>
    <x:t xml:space="preserve">Catch accidental title/canonical/noindex/link regressions before production.</x:t>
  </x:si>
  <x:si>
    <x:t xml:space="preserve">Add CI or scripted checks against preview/build output for missing/duplicate titles, missing canonicals, accidental noindex, broken internal links, invalid JSON-LD and sitemap/route mismatch on critical templates.</x:t>
  </x:si>
  <x:si>
    <x:t xml:space="preserve">PR fails or clearly warns on defined critical SEO regressions; known exceptions are documented; checks run quickly enough for normal development.</x:t>
  </x:si>
  <x:si>
    <x:t xml:space="preserve">PW-003,PW-020,PW-018</x:t>
  </x:si>
  <x:si>
    <x:t xml:space="preserve">SEO regression escape rate</x:t>
  </x:si>
  <x:si>
    <x:t xml:space="preserve">Keep rules deterministic; do not block deploys on subjective content scoring.</x:t>
  </x:si>
  <x:si>
    <x:t xml:space="preserve">PW-123</x:t>
  </x:si>
  <x:si>
    <x:t xml:space="preserve">Governance</x:t>
  </x:si>
  <x:si>
    <x:t xml:space="preserve">Run monthly SEO/AI discovery operating review</x:t>
  </x:si>
  <x:si>
    <x:t xml:space="preserve">Keep infrastructure, content and conversion work aligned to business results.</x:t>
  </x:si>
  <x:si>
    <x:t xml:space="preserve">Review: shipped pages, indexed pages, organic/AI traffic, top movers, conversions, content refreshes, technical incidents, backlink gains and next-month queue. Stop low-value streams and reallocate to evidence-backed opportunities.</x:t>
  </x:si>
  <x:si>
    <x:t xml:space="preserve">Monthly review results in an updated priority queue, explicit stop/start/continue decisions and owners for the next sprint.</x:t>
  </x:si>
  <x:si>
    <x:t xml:space="preserve">PW-015,PW-120,PW-121</x:t>
  </x:si>
  <x:si>
    <x:t xml:space="preserve">Organic signups + roadmap starts + qualified demand</x:t>
  </x:si>
  <x:si>
    <x:t xml:space="preserve">Treat rankings as leading indicators; business actions remain the outcome.</x:t>
  </x:si>
  <x:si>
    <x:t xml:space="preserve">Metric</x:t>
  </x:si>
  <x:si>
    <x:t xml:space="preserve">Value</x:t>
  </x:si>
  <x:si>
    <x:t xml:space="preserve">Count</x:t>
  </x:si>
  <x:si>
    <x:t xml:space="preserve">Total Tasks</x:t>
  </x:si>
  <x:si>
    <x:t xml:space="preserve">In Progress</x:t>
  </x:si>
  <x:si>
    <x:t xml:space="preserve">Review</x:t>
  </x:si>
  <x:si>
    <x:t xml:space="preserve">Ready</x:t>
  </x:si>
  <x:si>
    <x:t xml:space="preserve">Task Count</x:t>
  </x:si>
  <x:si>
    <x:t xml:space="preserve">Phase 6</x:t>
  </x:si>
  <x:si>
    <x:t xml:space="preserve">Execution Order</x:t>
  </x:si>
  <x:si>
    <x:t xml:space="preserve">Focus</x:t>
  </x:si>
  <x:si>
    <x:t xml:space="preserve">Exit Gate</x:t>
  </x:si>
  <x:si>
    <x:t xml:space="preserve">Reason</x:t>
  </x:si>
  <x:si>
    <x:t xml:space="preserve">Foundation + release + Cloudflare</x:t>
  </x:si>
  <x:si>
    <x:t xml:space="preserve">Stable deploy, rollback, canonical domain</x:t>
  </x:si>
  <x:si>
    <x:t xml:space="preserve">Do not scale content on unstable infrastructure.</x:t>
  </x:si>
  <x:si>
    <x:t xml:space="preserve">Measurement + technical SEO</x:t>
  </x:si>
  <x:si>
    <x:t xml:space="preserve">GA4/GSC/PostHog + robots/sitemap/canonical working</x:t>
  </x:si>
  <x:si>
    <x:t xml:space="preserve">We need visibility before publishing volume.</x:t>
  </x:si>
  <x:si>
    <x:t xml:space="preserve">Templates + career pages + assessment</x:t>
  </x:si>
  <x:si>
    <x:t xml:space="preserve">Pilot career/roadmap/blog templates convert and index</x:t>
  </x:si>
  <x:si>
    <x:t xml:space="preserve">Prove the acquisition-to-product path.</x:t>
  </x:si>
  <x:si>
    <x:t xml:space="preserve">Initial high-intent blogs + comparisons</x:t>
  </x:si>
  <x:si>
    <x:t xml:space="preserve">First content cluster published with internal links</x:t>
  </x:si>
  <x:si>
    <x:t xml:space="preserve">Build topical depth around career decisions.</x:t>
  </x:si>
  <x:si>
    <x:t xml:space="preserve">GEO/AEO + structured data + research</x:t>
  </x:si>
  <x:si>
    <x:t xml:space="preserve">Answer-first, sourced, entity-consistent pages</x:t>
  </x:si>
  <x:si>
    <x:t xml:space="preserve">Increase machine readability and citation potential.</x:t>
  </x:si>
  <x:si>
    <x:t xml:space="preserve">Programmatic scale</x:t>
  </x:si>
  <x:si>
    <x:t xml:space="preserve">Quality gate + controlled batches</x:t>
  </x:si>
  <x:si>
    <x:t xml:space="preserve">Scale only after pilot templates show quality and demand.</x:t>
  </x:si>
  <x:si>
    <x:t xml:space="preserve">Refresh + authority + distribution</x:t>
  </x:si>
  <x:si>
    <x:t xml:space="preserve">Weekly GSC loop and monthly operating review</x:t>
  </x:si>
  <x:si>
    <x:t xml:space="preserve">Compounding comes from iteration, not publishing alone.</x:t>
  </x:si>
</x:sst>
</file>

<file path=xl/styles.xml><?xml version="1.0" encoding="utf-8"?>
<x:styleSheet xmlns:x="http://schemas.openxmlformats.org/spreadsheetml/2006/main">
  <x:fonts count="12">
    <x:font>
      <x:sz val="10"/>
      <x:color rgb="FF000000"/>
      <x:name val="Arial"/>
    </x:font>
    <x:font>
      <x:b/>
      <x:sz val="16"/>
      <x:color rgb="FFFFFFFF"/>
      <x:name val="Arial"/>
    </x:font>
    <x:font>
      <x:sz val="10"/>
      <x:color rgb="FF3F5160"/>
      <x:name val="Arial"/>
    </x:font>
    <x:font>
      <x:b/>
      <x:color rgb="FFFFFFFF"/>
      <x:name val="Arial"/>
    </x:font>
    <x:font>
      <x:b/>
      <x:sz val="10"/>
      <x:color rgb="FFFFFFFF"/>
      <x:name val="Arial"/>
    </x:font>
    <x:font>
      <x:color theme="1"/>
      <x:name val="Arial"/>
    </x:font>
    <x:font>
      <x:sz val="9"/>
      <x:color theme="1"/>
      <x:name val="Arial"/>
    </x:font>
    <x:font>
      <x:b/>
      <x:sz val="14"/>
      <x:color theme="1"/>
      <x:name val="Arial"/>
    </x:font>
    <x:font>
      <x:sz val="10"/>
      <x:color rgb="FF24434B"/>
      <x:name val="Arial"/>
    </x:font>
    <x:font>
      <x:b/>
      <x:sz val="14"/>
      <x:color rgb="FFFFFFFF"/>
      <x:name val="Arial"/>
    </x:font>
    <x:font>
      <x:sz val="10"/>
      <x:color rgb="FF35515E"/>
      <x:name val="Arial"/>
    </x:font>
    <x:font>
      <x:b/>
      <x:sz val="12"/>
      <x:color rgb="FFFFFFFF"/>
      <x:name val="Arial"/>
    </x:font>
  </x:fonts>
  <x:fills count="11">
    <x:fill>
      <x:patternFill patternType="none"/>
    </x:fill>
    <x:fill>
      <x:patternFill patternType="lightGray"/>
    </x:fill>
    <x:fill>
      <x:patternFill patternType="solid">
        <x:fgColor rgb="FF0C3F5B"/>
      </x:patternFill>
    </x:fill>
    <x:fill>
      <x:patternFill patternType="solid">
        <x:fgColor rgb="FFEAF4F9"/>
      </x:patternFill>
    </x:fill>
    <x:fill>
      <x:patternFill patternType="solid">
        <x:fgColor rgb="FF145972"/>
      </x:patternFill>
    </x:fill>
    <x:fill>
      <x:patternFill patternType="solid">
        <x:fgColor rgb="FF0F4C5C"/>
      </x:patternFill>
    </x:fill>
    <x:fill>
      <x:patternFill patternType="solid">
        <x:fgColor rgb="FFEAF4F7"/>
      </x:patternFill>
    </x:fill>
    <x:fill>
      <x:patternFill patternType="solid">
        <x:fgColor rgb="FF0F5F73"/>
      </x:patternFill>
    </x:fill>
    <x:fill>
      <x:patternFill patternType="solid">
        <x:fgColor rgb="FF0B4C66"/>
      </x:patternFill>
    </x:fill>
    <x:fill>
      <x:patternFill patternType="solid">
        <x:fgColor rgb="FFEAF4F8"/>
      </x:patternFill>
    </x:fill>
    <x:fill>
      <x:patternFill patternType="solid">
        <x:fgColor rgb="FF0F5E78"/>
      </x:patternFill>
    </x:fill>
  </x:fills>
  <x:borders count="10">
    <x:border/>
    <x:border>
      <x:bottom style="thin">
        <x:color rgb="FFE0E5EA"/>
      </x:bottom>
    </x:border>
    <x:border>
      <x:left style="thin">
        <x:color rgb="FFD8E3E8"/>
      </x:left>
      <x:top style="thin">
        <x:color rgb="FFD8E3E8"/>
      </x:top>
    </x:border>
    <x:border>
      <x:top style="thin">
        <x:color rgb="FFD8E3E8"/>
      </x:top>
    </x:border>
    <x:border>
      <x:right style="thin">
        <x:color rgb="FFD8E3E8"/>
      </x:right>
      <x:top style="thin">
        <x:color rgb="FFD8E3E8"/>
      </x:top>
    </x:border>
    <x:border>
      <x:left style="thin">
        <x:color rgb="FFD8E3E8"/>
      </x:left>
    </x:border>
    <x:border>
      <x:right style="thin">
        <x:color rgb="FFD8E3E8"/>
      </x:right>
    </x:border>
    <x:border>
      <x:left style="thin">
        <x:color rgb="FFD8E3E8"/>
      </x:left>
      <x:bottom style="thin">
        <x:color rgb="FFD8E3E8"/>
      </x:bottom>
    </x:border>
    <x:border>
      <x:bottom style="thin">
        <x:color rgb="FFD8E3E8"/>
      </x:bottom>
    </x:border>
    <x:border>
      <x:right style="thin">
        <x:color rgb="FFD8E3E8"/>
      </x:right>
      <x:bottom style="thin">
        <x:color rgb="FFD8E3E8"/>
      </x:bottom>
    </x:border>
  </x:borders>
  <x:cellStyleXfs count="1">
    <x:xf numFmtId="0" fontId="0" fillId="0" borderId="0" applyFont="1" applyAlignment="1"/>
  </x:cellStyleXfs>
  <x:cellXfs count="64">
    <x:xf numFmtId="0" fontId="0" fillId="0" borderId="0" xfId="0" applyFont="1" applyAlignment="1">
      <x:alignment vertical="bottom" wrapText="0"/>
    </x:xf>
    <x:xf numFmtId="0" fontId="1" fillId="2" borderId="0" xfId="0" applyFont="1" applyFill="1" applyAlignment="1">
      <x:alignment horizontal="left" vertical="center"/>
    </x:xf>
    <x:xf numFmtId="0" fontId="1" fillId="2" borderId="0" xfId="0" applyFont="1" applyAlignment="1">
      <x:alignment vertical="center"/>
    </x:xf>
    <x:xf numFmtId="0" fontId="2" fillId="3" borderId="0" xfId="0" applyFont="1" applyFill="1" applyAlignment="1">
      <x:alignment vertical="center" wrapText="1"/>
    </x:xf>
    <x:xf numFmtId="0" fontId="3" fillId="4" borderId="0" xfId="0" applyFont="1" applyFill="1"/>
    <x:xf numFmtId="0" fontId="4" fillId="4" borderId="0" xfId="0" applyFont="1" applyAlignment="1">
      <x:alignment vertical="center" wrapText="1"/>
    </x:xf>
    <x:xf numFmtId="0" fontId="5" fillId="0" borderId="1" xfId="0" applyFont="1" applyBorder="1" applyAlignment="1">
      <x:alignment vertical="top" wrapText="1"/>
    </x:xf>
    <x:xf numFmtId="0" fontId="6" fillId="0" borderId="1" xfId="0" applyFont="1" applyBorder="1" applyAlignment="1">
      <x:alignment vertical="top" wrapText="1"/>
    </x:xf>
    <x:xf numFmtId="0" fontId="7" fillId="0" borderId="0" xfId="0" applyFont="1" applyAlignment="1">
      <x:alignment horizontal="center"/>
    </x:xf>
    <x:xf numFmtId="0" fontId="6" fillId="0" borderId="1" xfId="0" applyFont="1" applyBorder="1" applyAlignment="1">
      <x:alignment vertical="top" wrapText="1"/>
    </x:xf>
    <x:xf numFmtId="0" fontId="6" fillId="0" borderId="1" xfId="0" applyFont="1" applyBorder="1" applyAlignment="1">
      <x:alignment vertical="top"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left" vertical="center"/>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x:xf numFmtId="0" fontId="4" fillId="4" borderId="0" xfId="0" applyNumberFormat="1" applyFont="1" applyFill="1" applyBorder="1" applyAlignment="1">
      <x:alignment vertical="center" wrapText="1"/>
    </x:xf>
    <x:xf numFmtId="0" fontId="5" fillId="0"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0" xfId="0" applyNumberFormat="1" applyFont="1" applyFill="1" applyBorder="1" applyAlignment="1">
      <x:alignment horizontal="center"/>
    </x:xf>
    <x:xf numFmtId="0" fontId="0" fillId="0" borderId="0" xfId="0" applyNumberFormat="1" applyFont="1" applyFill="1" applyBorder="1" applyAlignment="1">
      <x:alignment vertical="bottom" wrapText="1"/>
    </x:xf>
    <x:xf numFmtId="0" fontId="1" fillId="5" borderId="0" xfId="0" applyNumberFormat="1" applyFont="1" applyFill="1" applyBorder="1" applyAlignment="1">
      <x:alignment vertical="center"/>
    </x:xf>
    <x:xf numFmtId="0" fontId="0" fillId="5" borderId="0" xfId="0" applyNumberFormat="1" applyFont="1" applyFill="1" applyBorder="1" applyAlignment="1">
      <x:alignment vertical="bottom" wrapText="0"/>
    </x:xf>
    <x:xf numFmtId="0" fontId="1" fillId="5" borderId="0" xfId="0" applyNumberFormat="1" applyFont="1" applyFill="1" applyBorder="1" applyAlignment="1">
      <x:alignment vertical="bottom" wrapText="0"/>
    </x:xf>
    <x:xf numFmtId="0" fontId="1" fillId="5" borderId="0" xfId="0" applyNumberFormat="1" applyFont="1" applyFill="1" applyBorder="1" applyAlignment="1">
      <x:alignment vertical="center" wrapText="0"/>
    </x:xf>
    <x:xf numFmtId="0" fontId="2" fillId="6" borderId="0" xfId="0" applyNumberFormat="1" applyFont="1" applyFill="1" applyBorder="1" applyAlignment="1">
      <x:alignment vertical="center" wrapText="1"/>
    </x:xf>
    <x:xf numFmtId="0" fontId="0" fillId="6" borderId="0" xfId="0" applyNumberFormat="1" applyFont="1" applyFill="1" applyBorder="1" applyAlignment="1">
      <x:alignment vertical="bottom" wrapText="0"/>
    </x:xf>
    <x:xf numFmtId="0" fontId="8" fillId="6" borderId="0" xfId="0" applyNumberFormat="1" applyFont="1" applyFill="1" applyBorder="1" applyAlignment="1">
      <x:alignment vertical="center" wrapText="1"/>
    </x:xf>
    <x:xf numFmtId="0" fontId="8" fillId="6" borderId="0" xfId="0" applyNumberFormat="1" applyFont="1" applyFill="1" applyBorder="1" applyAlignment="1">
      <x:alignment vertical="bottom" wrapText="0"/>
    </x:xf>
    <x:xf numFmtId="0" fontId="8" fillId="6" borderId="0" xfId="0" applyNumberFormat="1" applyFont="1" applyFill="1" applyBorder="1" applyAlignment="1">
      <x:alignment vertical="bottom" wrapText="1"/>
    </x:xf>
    <x:xf numFmtId="0" fontId="3" fillId="7" borderId="0" xfId="0" applyNumberFormat="1" applyFont="1" applyFill="1" applyBorder="1"/>
    <x:xf numFmtId="0" fontId="3" fillId="7" borderId="0" xfId="0" applyNumberFormat="1" applyFont="1" applyFill="1" applyBorder="1" applyAlignment="1">
      <x:alignment vertical="center"/>
    </x:xf>
    <x:xf numFmtId="0" fontId="5"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7" borderId="1" xfId="0" applyNumberFormat="1" applyFont="1" applyFill="1" applyBorder="1" applyAlignment="1">
      <x:alignment vertical="center" wrapText="1"/>
    </x:xf>
    <x:xf numFmtId="0" fontId="1" fillId="5" borderId="0" xfId="0" applyNumberFormat="1" applyFont="1" applyFill="1" applyBorder="1" applyAlignment="1">
      <x:alignment horizontal="left" vertical="center"/>
    </x:xf>
    <x:xf numFmtId="0" fontId="1" fillId="5" borderId="0" xfId="0" applyNumberFormat="1" applyFont="1" applyFill="1" applyBorder="1" applyAlignment="1">
      <x:alignment horizontal="left" vertical="center" wrapText="0"/>
    </x:xf>
    <x:xf numFmtId="0" fontId="0" fillId="8" borderId="0" xfId="0" applyNumberFormat="1" applyFont="1" applyFill="1" applyBorder="1" applyAlignment="1">
      <x:alignment vertical="bottom" wrapText="0"/>
    </x:xf>
    <x:xf numFmtId="0" fontId="9" fillId="8" borderId="0" xfId="0" applyNumberFormat="1" applyFont="1" applyFill="1" applyBorder="1" applyAlignment="1">
      <x:alignment vertical="bottom" wrapText="0"/>
    </x:xf>
    <x:xf numFmtId="0" fontId="9" fillId="8" borderId="0" xfId="0" applyNumberFormat="1" applyFont="1" applyFill="1" applyBorder="1" applyAlignment="1">
      <x:alignment vertical="center" wrapText="0"/>
    </x:xf>
    <x:xf numFmtId="0" fontId="0" fillId="9" borderId="0" xfId="0" applyNumberFormat="1" applyFont="1" applyFill="1" applyBorder="1" applyAlignment="1">
      <x:alignment vertical="bottom" wrapText="0"/>
    </x:xf>
    <x:xf numFmtId="0" fontId="10" fillId="9" borderId="0" xfId="0" applyNumberFormat="1" applyFont="1" applyFill="1" applyBorder="1" applyAlignment="1">
      <x:alignment vertical="bottom" wrapText="0"/>
    </x:xf>
    <x:xf numFmtId="0" fontId="10" fillId="9" borderId="0" xfId="0" applyNumberFormat="1" applyFont="1" applyFill="1" applyBorder="1" applyAlignment="1">
      <x:alignment vertical="bottom" wrapText="1"/>
    </x:xf>
    <x:xf numFmtId="0" fontId="10" fillId="9" borderId="0" xfId="0" applyNumberFormat="1" applyFont="1" applyFill="1" applyBorder="1" applyAlignment="1">
      <x:alignment vertical="center" wrapText="1"/>
    </x:xf>
    <x:xf numFmtId="0" fontId="0" fillId="10" borderId="0" xfId="0" applyNumberFormat="1" applyFont="1" applyFill="1" applyBorder="1" applyAlignment="1">
      <x:alignment vertical="bottom" wrapText="0"/>
    </x:xf>
    <x:xf numFmtId="0" fontId="4" fillId="10" borderId="0" xfId="0" applyNumberFormat="1" applyFont="1" applyFill="1" applyBorder="1" applyAlignment="1">
      <x:alignment vertical="bottom" wrapText="0"/>
    </x:xf>
    <x:xf numFmtId="0" fontId="4" fillId="10" borderId="0" xfId="0" applyNumberFormat="1" applyFont="1" applyFill="1" applyBorder="1" applyAlignment="1">
      <x:alignment vertical="bottom" wrapText="1"/>
    </x:xf>
    <x:xf numFmtId="0" fontId="4" fillId="1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vertical="center" wrapText="0"/>
    </x:xf>
    <x:xf numFmtId="0" fontId="4" fillId="10" borderId="0" xfId="0" applyNumberFormat="1" applyFont="1" applyFill="1" applyBorder="1" applyAlignment="1">
      <x:alignment vertical="center" wrapText="0"/>
    </x:xf>
    <x:xf numFmtId="0" fontId="11" fillId="8" borderId="2" xfId="0" applyNumberFormat="1" applyFont="1" applyFill="1" applyBorder="1" applyAlignment="1">
      <x:alignment vertical="center" wrapText="0"/>
    </x:xf>
    <x:xf numFmtId="0" fontId="11" fillId="8" borderId="3" xfId="0" applyNumberFormat="1" applyFont="1" applyFill="1" applyBorder="1" applyAlignment="1">
      <x:alignment vertical="center" wrapText="0"/>
    </x:xf>
    <x:xf numFmtId="0" fontId="11" fillId="8" borderId="4" xfId="0" applyNumberFormat="1" applyFont="1" applyFill="1" applyBorder="1" applyAlignment="1">
      <x:alignment vertical="center" wrapText="0"/>
    </x:xf>
    <x:xf numFmtId="0" fontId="4" fillId="10" borderId="5" xfId="0" applyNumberFormat="1" applyFont="1" applyFill="1" applyBorder="1" applyAlignment="1">
      <x:alignment vertical="center" wrapText="0"/>
    </x:xf>
    <x:xf numFmtId="0" fontId="4" fillId="10" xfId="0" applyNumberFormat="1" applyFont="1" applyFill="1" applyBorder="0" applyAlignment="1">
      <x:alignment vertical="center" wrapText="0"/>
    </x:xf>
    <x:xf numFmtId="0" fontId="4" fillId="10" borderId="6" xfId="0" applyNumberFormat="1" applyFont="1" applyFill="1" applyBorder="1" applyAlignment="1">
      <x:alignment vertical="center" wrapText="0"/>
    </x:xf>
    <x:xf numFmtId="0" fontId="0" fillId="0" borderId="5" xfId="0" applyNumberFormat="1" applyFont="1" applyFill="1" applyBorder="1" applyAlignment="1">
      <x:alignment vertical="bottom" wrapText="1"/>
    </x:xf>
    <x:xf numFmtId="0" fontId="0" fillId="0" xfId="0" applyNumberFormat="1" applyFont="1" applyFill="1" applyBorder="0" applyAlignment="1">
      <x:alignment vertical="bottom" wrapText="1"/>
    </x:xf>
    <x:xf numFmtId="0" fontId="0" fillId="0" borderId="6" xfId="0" applyNumberFormat="1" applyFont="1" applyFill="1" applyBorder="1" applyAlignment="1">
      <x:alignment vertical="bottom" wrapText="1"/>
    </x:xf>
    <x:xf numFmtId="0" fontId="0" fillId="0" borderId="7" xfId="0" applyNumberFormat="1" applyFont="1" applyFill="1" applyBorder="1" applyAlignment="1">
      <x:alignment vertical="bottom" wrapText="1"/>
    </x:xf>
    <x:xf numFmtId="0" fontId="0" fillId="0" borderId="8" xfId="0" applyNumberFormat="1" applyFont="1" applyFill="1" applyBorder="1" applyAlignment="1">
      <x:alignment vertical="bottom" wrapText="1"/>
    </x:xf>
    <x:xf numFmtId="0" fontId="0" fillId="0" borderId="9" xfId="0" applyNumberFormat="1" applyFont="1" applyFill="1" applyBorder="1" applyAlignment="1">
      <x:alignment vertical="bottom" wrapText="1"/>
    </x:xf>
  </x:cellXfs>
  <x:cellStyles count="1">
    <x:cellStyle name="Normal" xfId="0"/>
  </x:cellStyles>
  <x:dxfs count="13">
    <x:dxf>
      <x:font>
        <x:b/>
        <x:color rgb="FF8C0C0C"/>
      </x:font>
      <x:fill>
        <x:patternFill>
          <x:bgColor rgb="FFFFDBDB"/>
        </x:patternFill>
      </x:fill>
      <x:border/>
    </x:dxf>
    <x:dxf>
      <x:font>
        <x:b/>
        <x:color rgb="FF8C5100"/>
      </x:font>
      <x:fill>
        <x:patternFill>
          <x:bgColor rgb="FFFFEFC6"/>
        </x:patternFill>
      </x:fill>
      <x:border/>
    </x:dxf>
    <x:dxf>
      <x:font>
        <x:b/>
        <x:color rgb="FF0C477F"/>
      </x:font>
      <x:fill>
        <x:patternFill>
          <x:bgColor rgb="FFE0EFFF"/>
        </x:patternFill>
      </x:fill>
      <x:border/>
    </x:dxf>
    <x:dxf>
      <x:font>
        <x:b/>
        <x:color rgb="FF0F6628"/>
      </x:font>
      <x:fill>
        <x:patternFill>
          <x:bgColor rgb="FFD6F2DB"/>
        </x:patternFill>
      </x:fill>
      <x:border/>
    </x:dxf>
    <x:dxf>
      <x:font>
        <x:b/>
        <x:color rgb="FF0F3F8C"/>
      </x:font>
      <x:fill>
        <x:patternFill>
          <x:bgColor rgb="FFD6E8FF"/>
        </x:patternFill>
      </x:fill>
      <x:border/>
    </x:dxf>
    <x:dxf>
      <x:font>
        <x:b/>
        <x:color rgb="FF990505"/>
      </x:font>
      <x:fill>
        <x:patternFill>
          <x:bgColor rgb="FFFFD1D1"/>
        </x:patternFill>
      </x:fill>
      <x:border/>
    </x:dxf>
    <x:dxf>
      <x:font>
        <x:b/>
      </x:font>
      <x:fill>
        <x:patternFill patternType="solid">
          <x:bgColor rgb="FFFDECEC"/>
        </x:patternFill>
      </x:fill>
    </x:dxf>
    <x:dxf>
      <x:fill>
        <x:patternFill patternType="solid">
          <x:bgColor rgb="FFFFF4E5"/>
        </x:patternFill>
      </x:fill>
    </x:dxf>
    <x:dxf>
      <x:fill>
        <x:patternFill patternType="solid">
          <x:bgColor rgb="FFE6F4EA"/>
        </x:patternFill>
      </x:fill>
    </x:dxf>
    <x:dxf>
      <x:fill>
        <x:patternFill patternType="solid">
          <x:bgColor rgb="FFFDECEC"/>
        </x:patternFill>
      </x:fill>
    </x:dxf>
    <x:dxf>
      <x:font>
        <x:b/>
      </x:font>
      <x:fill>
        <x:patternFill patternType="solid">
          <x:bgColor rgb="FFFDECEC"/>
        </x:patternFill>
      </x:fill>
    </x:dxf>
    <x:dxf>
      <x:fill>
        <x:patternFill patternType="solid">
          <x:bgColor rgb="FFFFF4E5"/>
        </x:patternFill>
      </x:fill>
    </x:dxf>
    <x:dxf>
      <x:fill>
        <x:patternFill patternType="solid">
          <x:bgColor rgb="FFE6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f3290d52214245" /><Relationship Type="http://schemas.openxmlformats.org/officeDocument/2006/relationships/theme" Target="/xl/theme/theme1.xml" Id="R977f08d97f804092" /><Relationship Type="http://schemas.openxmlformats.org/officeDocument/2006/relationships/sharedStrings" Target="/xl/sharedStrings.xml" Id="R30e9c1e073384e6e" /><Relationship Type="http://schemas.openxmlformats.org/officeDocument/2006/relationships/worksheet" Target="/xl/worksheets/sheet1.xml" Id="Rb6c9981a633847d9" /><Relationship Type="http://schemas.openxmlformats.org/officeDocument/2006/relationships/worksheet" Target="/xl/worksheets/sheet2.xml" Id="R2c17590459f445c6" /><Relationship Type="http://schemas.openxmlformats.org/officeDocument/2006/relationships/worksheet" Target="/xl/worksheets/sheet3.xml" Id="R33b63fad00dd464f" /><Relationship Type="http://schemas.openxmlformats.org/officeDocument/2006/relationships/worksheet" Target="/xl/worksheets/sheet4.xml" Id="R1544a26a45b44943" /><Relationship Type="http://schemas.microsoft.com/office/2017/10/relationships/person" Target="/xl/persons/person.xml" Id="R0498bb47ea054c76" /></Relationships>
</file>

<file path=xl/persons/person.xml><?xml version="1.0" encoding="utf-8"?>
<xltc:personList xmlns:xltc="http://schemas.microsoft.com/office/spreadsheetml/2018/threadedcomments">
  <xltc:person displayName="Unknown" id="{F78A5F4C-0675-B106-88CC-941540762DC1}"/>
</xltc:personList>
</file>

<file path=xl/tables/table1.xml><?xml version="1.0" encoding="utf-8"?>
<x:table xmlns:x="http://schemas.openxmlformats.org/spreadsheetml/2006/main" id="1" name="WebsitePagesTable" displayName="WebsitePagesTable" ref="A4:P123" headerRowCount="1" totalsRowCount="0" totalsRowShown="0">
  <x:tableColumns count="16">
    <x:tableColumn id="1" name="Page ID"/>
    <x:tableColumn id="2" name="Category"/>
    <x:tableColumn id="3" name="Page / Template"/>
    <x:tableColumn id="4" name="Route"/>
    <x:tableColumn id="5" name="Primary Audience"/>
    <x:tableColumn id="6" name="Purpose / Outcome"/>
    <x:tableColumn id="7" name="What Needs to Be Developed"/>
    <x:tableColumn id="8" name="Primary CTA"/>
    <x:tableColumn id="9" name="Secondary CTA"/>
    <x:tableColumn id="10" name="Admin / CMS Needed"/>
    <x:tableColumn id="11" name="What Admin Manages"/>
    <x:tableColumn id="12" name="Priority"/>
    <x:tableColumn id="13" name="SEO / Indexing"/>
    <x:tableColumn id="14" name="Notes"/>
    <x:tableColumn id="15" name="Status"/>
    <x:tableColumn id="16" name="Owner"/>
  </x:tableColumns>
  <x:tableStyleInfo name="TableStyleMedium2" showFirstColumn="0" showLastColumn="0" showRowStripes="1" showColumnStripes="0"/>
</x:table>
</file>

<file path=xl/tables/table2.xml><?xml version="1.0" encoding="utf-8"?>
<x:table xmlns:x="http://schemas.openxmlformats.org/spreadsheetml/2006/main" id="2" name="CMSAdminTable" displayName="CMSAdminTable" ref="A4:J34" headerRowCount="1" totalsRowCount="0" totalsRowShown="0">
  <x:tableColumns count="10">
    <x:tableColumn id="1" name="Admin ID"/>
    <x:tableColumn id="2" name="Admin Module"/>
    <x:tableColumn id="3" name="Screen / Capability"/>
    <x:tableColumn id="4" name="Route"/>
    <x:tableColumn id="5" name="Objective"/>
    <x:tableColumn id="6" name="What Needs to Be Developed"/>
    <x:tableColumn id="7" name="Access / Permissions"/>
    <x:tableColumn id="8" name="Priority"/>
    <x:tableColumn id="9" name="Status"/>
    <x:tableColumn id="10" name="Owner"/>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8c78e7e15d24610" /><Relationship Type="http://schemas.openxmlformats.org/officeDocument/2006/relationships/vmlDrawing" Target="/xl/drawings/vmldrawing.vml" Id="R6657f15a77fe4037" /></Relationships>
</file>

<file path=xl/worksheets/_rels/sheet3.xml.rels>&#65279;<?xml version="1.0" encoding="utf-8"?><Relationships xmlns="http://schemas.openxmlformats.org/package/2006/relationships"><Relationship Type="http://schemas.openxmlformats.org/officeDocument/2006/relationships/table" Target="/xl/tables/table1.xml" Id="Rf53d3b5f8195455e" /></Relationships>
</file>

<file path=xl/worksheets/_rels/sheet4.xml.rels>&#65279;<?xml version="1.0" encoding="utf-8"?><Relationships xmlns="http://schemas.openxmlformats.org/package/2006/relationships"><Relationship Type="http://schemas.openxmlformats.org/officeDocument/2006/relationships/table" Target="/xl/tables/table2.xml" Id="Rb23b043d0569402a" /></Relationships>
</file>

<file path=xl/worksheets/sheet1.xml><?xml version="1.0" encoding="utf-8"?>
<x:worksheet xmlns:x="http://schemas.openxmlformats.org/spreadsheetml/2006/main">
  <x:sheetFormatPr defaultColWidth="12.630000114440918" defaultRowHeight="15.75"/>
  <x:cols>
    <x:col min="1" max="1" width="11.380000114440918" customWidth="1"/>
    <x:col min="2" max="2" width="16.3799991607666" customWidth="1"/>
    <x:col min="3" max="3" width="18.8799991607666" customWidth="1"/>
    <x:col min="4" max="4" width="35.130001068115234" customWidth="1"/>
    <x:col min="5" max="5" width="31.3799991607666" customWidth="1"/>
    <x:col min="6" max="6" width="65.12999725341797" customWidth="1"/>
    <x:col min="7" max="7" width="56.380001068115234" customWidth="1"/>
    <x:col min="8" max="10" width="10.75" customWidth="1"/>
    <x:col min="11" max="11" width="20.1299991607666" customWidth="1"/>
    <x:col min="12" max="13" width="13.880000114440918" customWidth="1"/>
    <x:col min="14" max="14" width="28.8799991607666" customWidth="1"/>
    <x:col min="15" max="15" width="27.6299991607666" customWidth="1"/>
    <x:col min="16" max="16" width="45.130001068115234" customWidth="1"/>
  </x:cols>
  <x:sheetData>
    <x:row r="1" ht="28.5" customHeight="1">
      <x:c r="A1" s="1" t="s">
        <x:v>0</x:v>
      </x:c>
    </x:row>
    <x:row r="2" ht="31.5" customHeight="1">
      <x:c r="A2" s="3" t="str">
        <x:v>137 task-level deliverables. Each row includes implementation context, acceptance criteria, dependency and measurement guidance so a developer, content owner or agent can execute it independently.</x:v>
      </x:c>
    </x:row>
    <x:row r="4" ht="40.5" customHeight="1">
      <x:c r="A4" s="5" t="s">
        <x:v>1</x:v>
      </x:c>
      <x:c r="B4" s="5" t="s">
        <x:v>2</x:v>
      </x:c>
      <x:c r="C4" s="5" t="s">
        <x:v>3</x:v>
      </x:c>
      <x:c r="D4" s="5" t="s">
        <x:v>4</x:v>
      </x:c>
      <x:c r="E4" s="5" t="s">
        <x:v>5</x:v>
      </x:c>
      <x:c r="F4" s="5" t="s">
        <x:v>6</x:v>
      </x:c>
      <x:c r="G4" s="5" t="s">
        <x:v>7</x:v>
      </x:c>
      <x:c r="H4" s="5" t="s">
        <x:v>8</x:v>
      </x:c>
      <x:c r="I4" s="5" t="s">
        <x:v>9</x:v>
      </x:c>
      <x:c r="J4" s="5" t="s">
        <x:v>10</x:v>
      </x:c>
      <x:c r="K4" s="5" t="s">
        <x:v>11</x:v>
      </x:c>
      <x:c r="L4" s="5" t="s">
        <x:v>12</x:v>
      </x:c>
      <x:c r="M4" s="5" t="s">
        <x:v>13</x:v>
      </x:c>
      <x:c r="N4" s="5" t="s">
        <x:v>14</x:v>
      </x:c>
      <x:c r="O4" s="5" t="s">
        <x:v>15</x:v>
      </x:c>
      <x:c r="P4" s="5" t="s">
        <x:v>16</x:v>
      </x:c>
    </x:row>
    <x:row r="5" ht="64.5" customHeight="1">
      <x:c r="A5" s="7" t="s">
        <x:v>17</x:v>
      </x:c>
      <x:c r="B5" s="7" t="s">
        <x:v>18</x:v>
      </x:c>
      <x:c r="C5" s="7" t="s">
        <x:v>19</x:v>
      </x:c>
      <x:c r="D5" s="7" t="s">
        <x:v>20</x:v>
      </x:c>
      <x:c r="E5" s="7" t="s">
        <x:v>21</x:v>
      </x:c>
      <x:c r="F5" s="7" t="s">
        <x:v>22</x:v>
      </x:c>
      <x:c r="G5" s="7" t="s">
        <x:v>23</x:v>
      </x:c>
      <x:c r="H5" s="7" t="s">
        <x:v>24</x:v>
      </x:c>
      <x:c r="I5" s="7" t="s">
        <x:v>25</x:v>
      </x:c>
      <x:c r="J5" s="7" t="s">
        <x:v>26</x:v>
      </x:c>
      <x:c r="K5" s="7"/>
      <x:c r="L5" s="9" t="s">
        <x:v>27</x:v>
      </x:c>
      <x:c r="M5" s="9" t="s">
        <x:v>28</x:v>
      </x:c>
      <x:c r="N5" s="7" t="s">
        <x:v>29</x:v>
      </x:c>
      <x:c r="O5" s="7"/>
      <x:c r="P5" s="7" t="s">
        <x:v>30</x:v>
      </x:c>
    </x:row>
    <x:row r="6" ht="64.5" customHeight="1">
      <x:c r="A6" s="7" t="s">
        <x:v>31</x:v>
      </x:c>
      <x:c r="B6" s="7" t="s">
        <x:v>18</x:v>
      </x:c>
      <x:c r="C6" s="7" t="s">
        <x:v>19</x:v>
      </x:c>
      <x:c r="D6" s="7" t="s">
        <x:v>32</x:v>
      </x:c>
      <x:c r="E6" s="7" t="s">
        <x:v>33</x:v>
      </x:c>
      <x:c r="F6" s="7" t="s">
        <x:v>34</x:v>
      </x:c>
      <x:c r="G6" s="7" t="s">
        <x:v>35</x:v>
      </x:c>
      <x:c r="H6" s="7" t="s">
        <x:v>24</x:v>
      </x:c>
      <x:c r="I6" s="7" t="s">
        <x:v>25</x:v>
      </x:c>
      <x:c r="J6" s="7" t="s">
        <x:v>26</x:v>
      </x:c>
      <x:c r="K6" s="7" t="s">
        <x:v>17</x:v>
      </x:c>
      <x:c r="L6" s="9" t="s">
        <x:v>27</x:v>
      </x:c>
      <x:c r="M6" s="9" t="s">
        <x:v>28</x:v>
      </x:c>
      <x:c r="N6" s="7" t="s">
        <x:v>36</x:v>
      </x:c>
      <x:c r="O6" s="7"/>
      <x:c r="P6" s="7" t="s">
        <x:v>37</x:v>
      </x:c>
    </x:row>
    <x:row r="7" ht="64.5" customHeight="1">
      <x:c r="A7" s="7" t="s">
        <x:v>38</x:v>
      </x:c>
      <x:c r="B7" s="7" t="s">
        <x:v>18</x:v>
      </x:c>
      <x:c r="C7" s="7" t="s">
        <x:v>19</x:v>
      </x:c>
      <x:c r="D7" s="7" t="s">
        <x:v>39</x:v>
      </x:c>
      <x:c r="E7" s="7" t="s">
        <x:v>40</x:v>
      </x:c>
      <x:c r="F7" s="7" t="s">
        <x:v>41</x:v>
      </x:c>
      <x:c r="G7" s="7" t="s">
        <x:v>42</x:v>
      </x:c>
      <x:c r="H7" s="7" t="s">
        <x:v>24</x:v>
      </x:c>
      <x:c r="I7" s="7" t="s">
        <x:v>25</x:v>
      </x:c>
      <x:c r="J7" s="7" t="s">
        <x:v>43</x:v>
      </x:c>
      <x:c r="K7" s="7" t="s">
        <x:v>44</x:v>
      </x:c>
      <x:c r="L7" s="9" t="s">
        <x:v>45</x:v>
      </x:c>
      <x:c r="M7" s="9" t="s">
        <x:v>28</x:v>
      </x:c>
      <x:c r="N7" s="7" t="s">
        <x:v>46</x:v>
      </x:c>
      <x:c r="O7" s="7"/>
      <x:c r="P7" s="7" t="s">
        <x:v>47</x:v>
      </x:c>
    </x:row>
    <x:row r="8" ht="64.5" customHeight="1">
      <x:c r="A8" s="7" t="s">
        <x:v>48</x:v>
      </x:c>
      <x:c r="B8" s="7" t="s">
        <x:v>18</x:v>
      </x:c>
      <x:c r="C8" s="7" t="s">
        <x:v>49</x:v>
      </x:c>
      <x:c r="D8" s="7" t="s">
        <x:v>50</x:v>
      </x:c>
      <x:c r="E8" s="7" t="s">
        <x:v>51</x:v>
      </x:c>
      <x:c r="F8" s="7" t="s">
        <x:v>52</x:v>
      </x:c>
      <x:c r="G8" s="7" t="s">
        <x:v>53</x:v>
      </x:c>
      <x:c r="H8" s="7" t="s">
        <x:v>24</x:v>
      </x:c>
      <x:c r="I8" s="7" t="s">
        <x:v>25</x:v>
      </x:c>
      <x:c r="J8" s="7" t="s">
        <x:v>54</x:v>
      </x:c>
      <x:c r="K8" s="7" t="s">
        <x:v>44</x:v>
      </x:c>
      <x:c r="L8" s="7" t="s">
        <x:v>55</x:v>
      </x:c>
      <x:c r="M8" s="7"/>
      <x:c r="N8" s="7" t="s">
        <x:v>56</x:v>
      </x:c>
      <x:c r="O8" s="7"/>
      <x:c r="P8" s="7" t="s">
        <x:v>57</x:v>
      </x:c>
    </x:row>
    <x:row r="9" ht="64.5" customHeight="1">
      <x:c r="A9" s="7" t="s">
        <x:v>58</x:v>
      </x:c>
      <x:c r="B9" s="7" t="s">
        <x:v>18</x:v>
      </x:c>
      <x:c r="C9" s="7" t="s">
        <x:v>49</x:v>
      </x:c>
      <x:c r="D9" s="7" t="s">
        <x:v>59</x:v>
      </x:c>
      <x:c r="E9" s="7" t="str">
        <x:v>Ensure one authoritative domain version is indexed and move the public website behind Cloudflare without disrupting app, API or email services.</x:v>
      </x:c>
      <x:c r="F9" s="7" t="str">
        <x:v>Current Cloudflare check on 18 Aug 2026: the zone is active, but pathwisse.com and www.pathwisse.com point to 185.158.133.1 with proxied=false (DNS-only). Before changing this, export/record DNS, verify origin HTTPS works through Cloudflare Full/Strict, confirm the canonical host, and test the apex and www one at a time. Preserve app/API/auth/MX/TXT records. After proxying, validate 200/301 behavior, SSL, caching, forms and rollback by returning the affected web record to DNS-only if needed.</x:v>
      </x:c>
      <x:c r="G9" s="7" t="str">
        <x:v>Apex and www are safely served through Cloudflare as intended; HTTP redirects to HTTPS; the alternate host 301s to the chosen canonical host; no redirect/SSL loop exists; app/API/auth/email DNS remains functional; rollback steps and before/after checks are documented.</x:v>
      </x:c>
      <x:c r="H9" s="7" t="str">
        <x:v>P0</x:v>
      </x:c>
      <x:c r="I9" s="7" t="str">
        <x:v>Phase 1</x:v>
      </x:c>
      <x:c r="J9" s="7" t="str">
        <x:v>M</x:v>
      </x:c>
      <x:c r="K9" s="7" t="str">
        <x:v>PW-004</x:v>
      </x:c>
      <x:c r="L9" s="7" t="str">
        <x:v>Backlog</x:v>
      </x:c>
      <x:c r="M9" s="7"/>
      <x:c r="N9" s="7" t="str">
        <x:v>Canonical host live through Cloudflare; 0 DNS/email/API regressions</x:v>
      </x:c>
      <x:c r="O9" s="7" t="str">
        <x:v>pathwisse.com</x:v>
      </x:c>
      <x:c r="P9" s="7" t="str">
        <x:v>Do not orange-cloud records blindly. Preserve MX/TXT and unrelated subdomains; validate origin SSL and canonical redirects before and immediately after each DNS/proxy change.</x:v>
      </x:c>
    </x:row>
    <x:row r="10" ht="64.5" customHeight="1">
      <x:c r="A10" s="7" t="s">
        <x:v>60</x:v>
      </x:c>
      <x:c r="B10" s="7" t="s">
        <x:v>18</x:v>
      </x:c>
      <x:c r="C10" s="7" t="s">
        <x:v>49</x:v>
      </x:c>
      <x:c r="D10" s="7" t="s">
        <x:v>61</x:v>
      </x:c>
      <x:c r="E10" s="7" t="s">
        <x:v>62</x:v>
      </x:c>
      <x:c r="F10" s="7" t="s">
        <x:v>63</x:v>
      </x:c>
      <x:c r="G10" s="7" t="s">
        <x:v>64</x:v>
      </x:c>
      <x:c r="H10" s="7" t="s">
        <x:v>24</x:v>
      </x:c>
      <x:c r="I10" s="7" t="s">
        <x:v>25</x:v>
      </x:c>
      <x:c r="J10" s="7" t="s">
        <x:v>43</x:v>
      </x:c>
      <x:c r="K10" s="7" t="s">
        <x:v>48</x:v>
      </x:c>
      <x:c r="L10" s="7" t="s">
        <x:v>55</x:v>
      </x:c>
      <x:c r="M10" s="7"/>
      <x:c r="N10" s="7" t="s">
        <x:v>65</x:v>
      </x:c>
      <x:c r="O10" s="7"/>
      <x:c r="P10" s="7" t="s">
        <x:v>66</x:v>
      </x:c>
    </x:row>
    <x:row r="11" ht="64.5" customHeight="1">
      <x:c r="A11" s="7" t="s">
        <x:v>67</x:v>
      </x:c>
      <x:c r="B11" s="7" t="s">
        <x:v>18</x:v>
      </x:c>
      <x:c r="C11" s="7" t="s">
        <x:v>49</x:v>
      </x:c>
      <x:c r="D11" s="7" t="s">
        <x:v>68</x:v>
      </x:c>
      <x:c r="E11" s="7" t="s">
        <x:v>69</x:v>
      </x:c>
      <x:c r="F11" s="7" t="s">
        <x:v>70</x:v>
      </x:c>
      <x:c r="G11" s="7" t="s">
        <x:v>71</x:v>
      </x:c>
      <x:c r="H11" s="7" t="s">
        <x:v>72</x:v>
      </x:c>
      <x:c r="I11" s="7" t="s">
        <x:v>25</x:v>
      </x:c>
      <x:c r="J11" s="7" t="s">
        <x:v>43</x:v>
      </x:c>
      <x:c r="K11" s="7" t="s">
        <x:v>48</x:v>
      </x:c>
      <x:c r="L11" s="7" t="s">
        <x:v>55</x:v>
      </x:c>
      <x:c r="M11" s="7"/>
      <x:c r="N11" s="7" t="s">
        <x:v>73</x:v>
      </x:c>
      <x:c r="O11" s="7"/>
      <x:c r="P11" s="7" t="s">
        <x:v>74</x:v>
      </x:c>
    </x:row>
    <x:row r="12" ht="64.5" customHeight="1">
      <x:c r="A12" s="7" t="s">
        <x:v>75</x:v>
      </x:c>
      <x:c r="B12" s="7" t="s">
        <x:v>18</x:v>
      </x:c>
      <x:c r="C12" s="7" t="s">
        <x:v>76</x:v>
      </x:c>
      <x:c r="D12" s="7" t="s">
        <x:v>77</x:v>
      </x:c>
      <x:c r="E12" s="7" t="s">
        <x:v>78</x:v>
      </x:c>
      <x:c r="F12" s="7" t="s">
        <x:v>79</x:v>
      </x:c>
      <x:c r="G12" s="7" t="s">
        <x:v>80</x:v>
      </x:c>
      <x:c r="H12" s="7" t="s">
        <x:v>72</x:v>
      </x:c>
      <x:c r="I12" s="7" t="s">
        <x:v>25</x:v>
      </x:c>
      <x:c r="J12" s="7" t="s">
        <x:v>43</x:v>
      </x:c>
      <x:c r="K12" s="7" t="s">
        <x:v>58</x:v>
      </x:c>
      <x:c r="L12" s="7" t="s">
        <x:v>55</x:v>
      </x:c>
      <x:c r="M12" s="7"/>
      <x:c r="N12" s="7" t="s">
        <x:v>81</x:v>
      </x:c>
      <x:c r="O12" s="7"/>
      <x:c r="P12" s="7" t="s">
        <x:v>82</x:v>
      </x:c>
    </x:row>
    <x:row r="13" ht="64.5" customHeight="1">
      <x:c r="A13" s="7" t="s">
        <x:v>83</x:v>
      </x:c>
      <x:c r="B13" s="7" t="s">
        <x:v>18</x:v>
      </x:c>
      <x:c r="C13" s="7" t="s">
        <x:v>76</x:v>
      </x:c>
      <x:c r="D13" s="7" t="s">
        <x:v>84</x:v>
      </x:c>
      <x:c r="E13" s="7" t="s">
        <x:v>85</x:v>
      </x:c>
      <x:c r="F13" s="7" t="s">
        <x:v>86</x:v>
      </x:c>
      <x:c r="G13" s="7" t="s">
        <x:v>87</x:v>
      </x:c>
      <x:c r="H13" s="7" t="s">
        <x:v>72</x:v>
      </x:c>
      <x:c r="I13" s="7" t="s">
        <x:v>25</x:v>
      </x:c>
      <x:c r="J13" s="7" t="s">
        <x:v>43</x:v>
      </x:c>
      <x:c r="K13" s="7" t="s">
        <x:v>48</x:v>
      </x:c>
      <x:c r="L13" s="7" t="s">
        <x:v>55</x:v>
      </x:c>
      <x:c r="M13" s="7"/>
      <x:c r="N13" s="7" t="s">
        <x:v>88</x:v>
      </x:c>
      <x:c r="O13" s="7"/>
      <x:c r="P13" s="7" t="s">
        <x:v>89</x:v>
      </x:c>
    </x:row>
    <x:row r="14" ht="64.5" customHeight="1">
      <x:c r="A14" s="7" t="s">
        <x:v>90</x:v>
      </x:c>
      <x:c r="B14" s="7" t="s">
        <x:v>91</x:v>
      </x:c>
      <x:c r="C14" s="7" t="s">
        <x:v>92</x:v>
      </x:c>
      <x:c r="D14" s="7" t="s">
        <x:v>93</x:v>
      </x:c>
      <x:c r="E14" s="7" t="s">
        <x:v>94</x:v>
      </x:c>
      <x:c r="F14" s="7" t="s">
        <x:v>95</x:v>
      </x:c>
      <x:c r="G14" s="7" t="s">
        <x:v>96</x:v>
      </x:c>
      <x:c r="H14" s="7" t="s">
        <x:v>24</x:v>
      </x:c>
      <x:c r="I14" s="7" t="s">
        <x:v>25</x:v>
      </x:c>
      <x:c r="J14" s="7" t="s">
        <x:v>43</x:v>
      </x:c>
      <x:c r="K14" s="7" t="s">
        <x:v>48</x:v>
      </x:c>
      <x:c r="L14" s="7" t="s">
        <x:v>55</x:v>
      </x:c>
      <x:c r="M14" s="7"/>
      <x:c r="N14" s="7" t="s">
        <x:v>97</x:v>
      </x:c>
      <x:c r="O14" s="7"/>
      <x:c r="P14" s="7" t="s">
        <x:v>98</x:v>
      </x:c>
    </x:row>
    <x:row r="15" ht="64.5" customHeight="1">
      <x:c r="A15" s="7" t="s">
        <x:v>99</x:v>
      </x:c>
      <x:c r="B15" s="7" t="s">
        <x:v>91</x:v>
      </x:c>
      <x:c r="C15" s="7" t="s">
        <x:v>100</x:v>
      </x:c>
      <x:c r="D15" s="7" t="s">
        <x:v>101</x:v>
      </x:c>
      <x:c r="E15" s="7" t="s">
        <x:v>102</x:v>
      </x:c>
      <x:c r="F15" s="7" t="s">
        <x:v>103</x:v>
      </x:c>
      <x:c r="G15" s="7" t="s">
        <x:v>104</x:v>
      </x:c>
      <x:c r="H15" s="7" t="s">
        <x:v>24</x:v>
      </x:c>
      <x:c r="I15" s="7" t="s">
        <x:v>25</x:v>
      </x:c>
      <x:c r="J15" s="7" t="s">
        <x:v>26</x:v>
      </x:c>
      <x:c r="K15" s="7" t="s">
        <x:v>58</x:v>
      </x:c>
      <x:c r="L15" s="7" t="s">
        <x:v>55</x:v>
      </x:c>
      <x:c r="M15" s="7"/>
      <x:c r="N15" s="7" t="s">
        <x:v>105</x:v>
      </x:c>
      <x:c r="O15" s="7"/>
      <x:c r="P15" s="7" t="s">
        <x:v>106</x:v>
      </x:c>
    </x:row>
    <x:row r="16" ht="64.5" customHeight="1">
      <x:c r="A16" s="7" t="s">
        <x:v>107</x:v>
      </x:c>
      <x:c r="B16" s="7" t="s">
        <x:v>91</x:v>
      </x:c>
      <x:c r="C16" s="7" t="s">
        <x:v>108</x:v>
      </x:c>
      <x:c r="D16" s="7" t="s">
        <x:v>109</x:v>
      </x:c>
      <x:c r="E16" s="7" t="s">
        <x:v>110</x:v>
      </x:c>
      <x:c r="F16" s="7" t="s">
        <x:v>111</x:v>
      </x:c>
      <x:c r="G16" s="7" t="s">
        <x:v>112</x:v>
      </x:c>
      <x:c r="H16" s="7" t="s">
        <x:v>24</x:v>
      </x:c>
      <x:c r="I16" s="7" t="s">
        <x:v>25</x:v>
      </x:c>
      <x:c r="J16" s="7" t="s">
        <x:v>54</x:v>
      </x:c>
      <x:c r="K16" s="7" t="s">
        <x:v>48</x:v>
      </x:c>
      <x:c r="L16" s="7" t="s">
        <x:v>55</x:v>
      </x:c>
      <x:c r="M16" s="7"/>
      <x:c r="N16" s="7" t="s">
        <x:v>113</x:v>
      </x:c>
      <x:c r="O16" s="7"/>
      <x:c r="P16" s="7" t="s">
        <x:v>114</x:v>
      </x:c>
    </x:row>
    <x:row r="17" ht="64.5" customHeight="1">
      <x:c r="A17" s="7" t="s">
        <x:v>115</x:v>
      </x:c>
      <x:c r="B17" s="7" t="s">
        <x:v>91</x:v>
      </x:c>
      <x:c r="C17" s="7" t="s">
        <x:v>92</x:v>
      </x:c>
      <x:c r="D17" s="7" t="s">
        <x:v>116</x:v>
      </x:c>
      <x:c r="E17" s="7" t="s">
        <x:v>117</x:v>
      </x:c>
      <x:c r="F17" s="7" t="s">
        <x:v>118</x:v>
      </x:c>
      <x:c r="G17" s="7" t="s">
        <x:v>119</x:v>
      </x:c>
      <x:c r="H17" s="7" t="s">
        <x:v>72</x:v>
      </x:c>
      <x:c r="I17" s="7" t="s">
        <x:v>25</x:v>
      </x:c>
      <x:c r="J17" s="7" t="s">
        <x:v>26</x:v>
      </x:c>
      <x:c r="K17" s="7" t="s">
        <x:v>120</x:v>
      </x:c>
      <x:c r="L17" s="7" t="s">
        <x:v>55</x:v>
      </x:c>
      <x:c r="M17" s="7"/>
      <x:c r="N17" s="7" t="s">
        <x:v>121</x:v>
      </x:c>
      <x:c r="O17" s="7"/>
      <x:c r="P17" s="7" t="s">
        <x:v>122</x:v>
      </x:c>
    </x:row>
    <x:row r="18" ht="64.5" customHeight="1">
      <x:c r="A18" s="7" t="s">
        <x:v>123</x:v>
      </x:c>
      <x:c r="B18" s="7" t="s">
        <x:v>91</x:v>
      </x:c>
      <x:c r="C18" s="7" t="s">
        <x:v>124</x:v>
      </x:c>
      <x:c r="D18" s="7" t="s">
        <x:v>125</x:v>
      </x:c>
      <x:c r="E18" s="7" t="s">
        <x:v>126</x:v>
      </x:c>
      <x:c r="F18" s="7" t="s">
        <x:v>127</x:v>
      </x:c>
      <x:c r="G18" s="7" t="s">
        <x:v>128</x:v>
      </x:c>
      <x:c r="H18" s="7" t="s">
        <x:v>72</x:v>
      </x:c>
      <x:c r="I18" s="7" t="s">
        <x:v>25</x:v>
      </x:c>
      <x:c r="J18" s="7" t="s">
        <x:v>43</x:v>
      </x:c>
      <x:c r="K18" s="7" t="s">
        <x:v>120</x:v>
      </x:c>
      <x:c r="L18" s="7" t="s">
        <x:v>55</x:v>
      </x:c>
      <x:c r="M18" s="7"/>
      <x:c r="N18" s="7" t="s">
        <x:v>129</x:v>
      </x:c>
      <x:c r="O18" s="7"/>
      <x:c r="P18" s="7" t="s">
        <x:v>130</x:v>
      </x:c>
    </x:row>
    <x:row r="19" ht="64.5" customHeight="1">
      <x:c r="A19" s="7" t="s">
        <x:v>131</x:v>
      </x:c>
      <x:c r="B19" s="7" t="s">
        <x:v>91</x:v>
      </x:c>
      <x:c r="C19" s="7" t="s">
        <x:v>132</x:v>
      </x:c>
      <x:c r="D19" s="7" t="s">
        <x:v>133</x:v>
      </x:c>
      <x:c r="E19" s="7" t="s">
        <x:v>134</x:v>
      </x:c>
      <x:c r="F19" s="7" t="s">
        <x:v>135</x:v>
      </x:c>
      <x:c r="G19" s="7" t="s">
        <x:v>136</x:v>
      </x:c>
      <x:c r="H19" s="7" t="s">
        <x:v>24</x:v>
      </x:c>
      <x:c r="I19" s="7" t="s">
        <x:v>25</x:v>
      </x:c>
      <x:c r="J19" s="7" t="s">
        <x:v>54</x:v>
      </x:c>
      <x:c r="K19" s="7" t="s">
        <x:v>137</x:v>
      </x:c>
      <x:c r="L19" s="7" t="s">
        <x:v>55</x:v>
      </x:c>
      <x:c r="M19" s="7"/>
      <x:c r="N19" s="7" t="s">
        <x:v>138</x:v>
      </x:c>
      <x:c r="O19" s="7"/>
      <x:c r="P19" s="7" t="s">
        <x:v>139</x:v>
      </x:c>
    </x:row>
    <x:row r="20" ht="64.5" customHeight="1">
      <x:c r="A20" s="7" t="s">
        <x:v>140</x:v>
      </x:c>
      <x:c r="B20" s="7" t="s">
        <x:v>141</x:v>
      </x:c>
      <x:c r="C20" s="7" t="s">
        <x:v>142</x:v>
      </x:c>
      <x:c r="D20" s="7" t="s">
        <x:v>143</x:v>
      </x:c>
      <x:c r="E20" s="7" t="s">
        <x:v>144</x:v>
      </x:c>
      <x:c r="F20" s="7" t="s">
        <x:v>145</x:v>
      </x:c>
      <x:c r="G20" s="7" t="s">
        <x:v>146</x:v>
      </x:c>
      <x:c r="H20" s="7" t="s">
        <x:v>24</x:v>
      </x:c>
      <x:c r="I20" s="7" t="s">
        <x:v>25</x:v>
      </x:c>
      <x:c r="J20" s="7" t="s">
        <x:v>43</x:v>
      </x:c>
      <x:c r="K20" s="7" t="s">
        <x:v>17</x:v>
      </x:c>
      <x:c r="L20" s="9" t="s">
        <x:v>27</x:v>
      </x:c>
      <x:c r="M20" s="9" t="s">
        <x:v>28</x:v>
      </x:c>
      <x:c r="N20" s="7" t="s">
        <x:v>147</x:v>
      </x:c>
      <x:c r="O20" s="7"/>
      <x:c r="P20" s="7" t="s">
        <x:v>148</x:v>
      </x:c>
    </x:row>
    <x:row r="21" ht="64.5" customHeight="1">
      <x:c r="A21" s="7" t="s">
        <x:v>149</x:v>
      </x:c>
      <x:c r="B21" s="7" t="s">
        <x:v>141</x:v>
      </x:c>
      <x:c r="C21" s="7" t="s">
        <x:v>142</x:v>
      </x:c>
      <x:c r="D21" s="7" t="s">
        <x:v>150</x:v>
      </x:c>
      <x:c r="E21" s="7" t="s">
        <x:v>151</x:v>
      </x:c>
      <x:c r="F21" s="7" t="s">
        <x:v>152</x:v>
      </x:c>
      <x:c r="G21" s="7" t="s">
        <x:v>153</x:v>
      </x:c>
      <x:c r="H21" s="7" t="s">
        <x:v>24</x:v>
      </x:c>
      <x:c r="I21" s="7" t="s">
        <x:v>25</x:v>
      </x:c>
      <x:c r="J21" s="7" t="s">
        <x:v>26</x:v>
      </x:c>
      <x:c r="K21" s="7" t="s">
        <x:v>140</x:v>
      </x:c>
      <x:c r="L21" s="9" t="s">
        <x:v>27</x:v>
      </x:c>
      <x:c r="M21" s="9" t="s">
        <x:v>28</x:v>
      </x:c>
      <x:c r="N21" s="7" t="s">
        <x:v>154</x:v>
      </x:c>
      <x:c r="O21" s="7" t="s">
        <x:v>155</x:v>
      </x:c>
      <x:c r="P21" s="7" t="s">
        <x:v>156</x:v>
      </x:c>
    </x:row>
    <x:row r="22" ht="64.5" customHeight="1">
      <x:c r="A22" s="7" t="s">
        <x:v>157</x:v>
      </x:c>
      <x:c r="B22" s="7" t="s">
        <x:v>141</x:v>
      </x:c>
      <x:c r="C22" s="7" t="s">
        <x:v>142</x:v>
      </x:c>
      <x:c r="D22" s="7" t="s">
        <x:v>158</x:v>
      </x:c>
      <x:c r="E22" s="7" t="s">
        <x:v>159</x:v>
      </x:c>
      <x:c r="F22" s="7" t="s">
        <x:v>160</x:v>
      </x:c>
      <x:c r="G22" s="7" t="s">
        <x:v>161</x:v>
      </x:c>
      <x:c r="H22" s="7" t="s">
        <x:v>24</x:v>
      </x:c>
      <x:c r="I22" s="7" t="s">
        <x:v>25</x:v>
      </x:c>
      <x:c r="J22" s="7" t="s">
        <x:v>54</x:v>
      </x:c>
      <x:c r="K22" s="7" t="s">
        <x:v>140</x:v>
      </x:c>
      <x:c r="L22" s="9" t="s">
        <x:v>27</x:v>
      </x:c>
      <x:c r="M22" s="9" t="s">
        <x:v>28</x:v>
      </x:c>
      <x:c r="N22" s="7" t="s">
        <x:v>162</x:v>
      </x:c>
      <x:c r="O22" s="7" t="s">
        <x:v>163</x:v>
      </x:c>
      <x:c r="P22" s="7" t="s">
        <x:v>164</x:v>
      </x:c>
    </x:row>
    <x:row r="23" ht="64.5" customHeight="1">
      <x:c r="A23" s="7" t="s">
        <x:v>165</x:v>
      </x:c>
      <x:c r="B23" s="7" t="s">
        <x:v>141</x:v>
      </x:c>
      <x:c r="C23" s="7" t="s">
        <x:v>142</x:v>
      </x:c>
      <x:c r="D23" s="7" t="s">
        <x:v>166</x:v>
      </x:c>
      <x:c r="E23" s="7" t="s">
        <x:v>167</x:v>
      </x:c>
      <x:c r="F23" s="7" t="s">
        <x:v>168</x:v>
      </x:c>
      <x:c r="G23" s="7" t="s">
        <x:v>169</x:v>
      </x:c>
      <x:c r="H23" s="7" t="s">
        <x:v>24</x:v>
      </x:c>
      <x:c r="I23" s="7" t="s">
        <x:v>25</x:v>
      </x:c>
      <x:c r="J23" s="7" t="s">
        <x:v>43</x:v>
      </x:c>
      <x:c r="K23" s="7" t="s">
        <x:v>170</x:v>
      </x:c>
      <x:c r="L23" s="7" t="s">
        <x:v>55</x:v>
      </x:c>
      <x:c r="M23" s="7"/>
      <x:c r="N23" s="7" t="s">
        <x:v>171</x:v>
      </x:c>
      <x:c r="O23" s="7"/>
      <x:c r="P23" s="7" t="s">
        <x:v>172</x:v>
      </x:c>
    </x:row>
    <x:row r="24" ht="64.5" customHeight="1">
      <x:c r="A24" s="7" t="s">
        <x:v>173</x:v>
      </x:c>
      <x:c r="B24" s="7" t="s">
        <x:v>141</x:v>
      </x:c>
      <x:c r="C24" s="7" t="s">
        <x:v>142</x:v>
      </x:c>
      <x:c r="D24" s="7" t="s">
        <x:v>174</x:v>
      </x:c>
      <x:c r="E24" s="7" t="s">
        <x:v>175</x:v>
      </x:c>
      <x:c r="F24" s="7" t="s">
        <x:v>176</x:v>
      </x:c>
      <x:c r="G24" s="7" t="s">
        <x:v>177</x:v>
      </x:c>
      <x:c r="H24" s="7" t="s">
        <x:v>24</x:v>
      </x:c>
      <x:c r="I24" s="7" t="s">
        <x:v>25</x:v>
      </x:c>
      <x:c r="J24" s="7" t="s">
        <x:v>54</x:v>
      </x:c>
      <x:c r="K24" s="7" t="s">
        <x:v>165</x:v>
      </x:c>
      <x:c r="L24" s="7" t="s">
        <x:v>55</x:v>
      </x:c>
      <x:c r="M24" s="7"/>
      <x:c r="N24" s="7" t="s">
        <x:v>178</x:v>
      </x:c>
      <x:c r="O24" s="7"/>
      <x:c r="P24" s="7" t="s">
        <x:v>179</x:v>
      </x:c>
    </x:row>
    <x:row r="25" ht="64.5" customHeight="1">
      <x:c r="A25" s="7" t="s">
        <x:v>180</x:v>
      </x:c>
      <x:c r="B25" s="7" t="s">
        <x:v>141</x:v>
      </x:c>
      <x:c r="C25" s="7" t="s">
        <x:v>142</x:v>
      </x:c>
      <x:c r="D25" s="7" t="s">
        <x:v>181</x:v>
      </x:c>
      <x:c r="E25" s="7" t="s">
        <x:v>182</x:v>
      </x:c>
      <x:c r="F25" s="7" t="s">
        <x:v>183</x:v>
      </x:c>
      <x:c r="G25" s="7" t="s">
        <x:v>184</x:v>
      </x:c>
      <x:c r="H25" s="7" t="s">
        <x:v>72</x:v>
      </x:c>
      <x:c r="I25" s="7" t="s">
        <x:v>185</x:v>
      </x:c>
      <x:c r="J25" s="7" t="s">
        <x:v>43</x:v>
      </x:c>
      <x:c r="K25" s="7" t="s">
        <x:v>173</x:v>
      </x:c>
      <x:c r="L25" s="7" t="s">
        <x:v>55</x:v>
      </x:c>
      <x:c r="M25" s="7"/>
      <x:c r="N25" s="7" t="s">
        <x:v>186</x:v>
      </x:c>
      <x:c r="O25" s="7"/>
      <x:c r="P25" s="7" t="s">
        <x:v>187</x:v>
      </x:c>
    </x:row>
    <x:row r="26" ht="64.5" customHeight="1">
      <x:c r="A26" s="7" t="s">
        <x:v>188</x:v>
      </x:c>
      <x:c r="B26" s="7" t="s">
        <x:v>141</x:v>
      </x:c>
      <x:c r="C26" s="7" t="s">
        <x:v>142</x:v>
      </x:c>
      <x:c r="D26" s="7" t="s">
        <x:v>189</x:v>
      </x:c>
      <x:c r="E26" s="7" t="s">
        <x:v>190</x:v>
      </x:c>
      <x:c r="F26" s="7" t="s">
        <x:v>191</x:v>
      </x:c>
      <x:c r="G26" s="7" t="s">
        <x:v>192</x:v>
      </x:c>
      <x:c r="H26" s="7" t="s">
        <x:v>72</x:v>
      </x:c>
      <x:c r="I26" s="7" t="s">
        <x:v>25</x:v>
      </x:c>
      <x:c r="J26" s="7" t="s">
        <x:v>43</x:v>
      </x:c>
      <x:c r="K26" s="7" t="s">
        <x:v>48</x:v>
      </x:c>
      <x:c r="L26" s="7" t="s">
        <x:v>55</x:v>
      </x:c>
      <x:c r="M26" s="7"/>
      <x:c r="N26" s="7" t="s">
        <x:v>193</x:v>
      </x:c>
      <x:c r="O26" s="7" t="s">
        <x:v>194</x:v>
      </x:c>
      <x:c r="P26" s="7" t="s">
        <x:v>195</x:v>
      </x:c>
    </x:row>
    <x:row r="27" ht="64.5" customHeight="1">
      <x:c r="A27" s="7" t="s">
        <x:v>196</x:v>
      </x:c>
      <x:c r="B27" s="7" t="s">
        <x:v>141</x:v>
      </x:c>
      <x:c r="C27" s="7" t="s">
        <x:v>142</x:v>
      </x:c>
      <x:c r="D27" s="7" t="s">
        <x:v>197</x:v>
      </x:c>
      <x:c r="E27" s="7" t="s">
        <x:v>198</x:v>
      </x:c>
      <x:c r="F27" s="7" t="s">
        <x:v>199</x:v>
      </x:c>
      <x:c r="G27" s="7" t="s">
        <x:v>200</x:v>
      </x:c>
      <x:c r="H27" s="7" t="s">
        <x:v>24</x:v>
      </x:c>
      <x:c r="I27" s="7" t="s">
        <x:v>25</x:v>
      </x:c>
      <x:c r="J27" s="7" t="s">
        <x:v>54</x:v>
      </x:c>
      <x:c r="K27" s="7" t="s">
        <x:v>201</x:v>
      </x:c>
      <x:c r="L27" s="7" t="s">
        <x:v>55</x:v>
      </x:c>
      <x:c r="M27" s="7"/>
      <x:c r="N27" s="7" t="s">
        <x:v>202</x:v>
      </x:c>
      <x:c r="O27" s="7"/>
      <x:c r="P27" s="7" t="s">
        <x:v>203</x:v>
      </x:c>
    </x:row>
    <x:row r="28" ht="64.5" customHeight="1">
      <x:c r="A28" s="7" t="s">
        <x:v>204</x:v>
      </x:c>
      <x:c r="B28" s="7" t="s">
        <x:v>141</x:v>
      </x:c>
      <x:c r="C28" s="7" t="s">
        <x:v>142</x:v>
      </x:c>
      <x:c r="D28" s="7" t="s">
        <x:v>205</x:v>
      </x:c>
      <x:c r="E28" s="7" t="s">
        <x:v>206</x:v>
      </x:c>
      <x:c r="F28" s="7" t="s">
        <x:v>207</x:v>
      </x:c>
      <x:c r="G28" s="7" t="s">
        <x:v>208</x:v>
      </x:c>
      <x:c r="H28" s="7" t="s">
        <x:v>72</x:v>
      </x:c>
      <x:c r="I28" s="7" t="s">
        <x:v>185</x:v>
      </x:c>
      <x:c r="J28" s="7" t="s">
        <x:v>43</x:v>
      </x:c>
      <x:c r="K28" s="7" t="s">
        <x:v>157</x:v>
      </x:c>
      <x:c r="L28" s="9" t="s">
        <x:v>27</x:v>
      </x:c>
      <x:c r="M28" s="9" t="s">
        <x:v>28</x:v>
      </x:c>
      <x:c r="N28" s="7" t="s">
        <x:v>209</x:v>
      </x:c>
      <x:c r="O28" s="7"/>
      <x:c r="P28" s="7" t="s">
        <x:v>210</x:v>
      </x:c>
    </x:row>
    <x:row r="29" ht="64.5" customHeight="1">
      <x:c r="A29" s="7" t="s">
        <x:v>211</x:v>
      </x:c>
      <x:c r="B29" s="7" t="s">
        <x:v>212</x:v>
      </x:c>
      <x:c r="C29" s="7" t="s">
        <x:v>213</x:v>
      </x:c>
      <x:c r="D29" s="7" t="s">
        <x:v>214</x:v>
      </x:c>
      <x:c r="E29" s="7" t="s">
        <x:v>215</x:v>
      </x:c>
      <x:c r="F29" s="7" t="s">
        <x:v>216</x:v>
      </x:c>
      <x:c r="G29" s="7" t="s">
        <x:v>217</x:v>
      </x:c>
      <x:c r="H29" s="7" t="s">
        <x:v>24</x:v>
      </x:c>
      <x:c r="I29" s="7" t="s">
        <x:v>25</x:v>
      </x:c>
      <x:c r="J29" s="7" t="s">
        <x:v>26</x:v>
      </x:c>
      <x:c r="K29" s="7" t="s">
        <x:v>48</x:v>
      </x:c>
      <x:c r="L29" s="7" t="s">
        <x:v>55</x:v>
      </x:c>
      <x:c r="M29" s="7"/>
      <x:c r="N29" s="7" t="s">
        <x:v>218</x:v>
      </x:c>
      <x:c r="O29" s="7"/>
      <x:c r="P29" s="7" t="s">
        <x:v>219</x:v>
      </x:c>
    </x:row>
    <x:row r="30" ht="64.5" customHeight="1">
      <x:c r="A30" s="7" t="s">
        <x:v>220</x:v>
      </x:c>
      <x:c r="B30" s="7" t="s">
        <x:v>212</x:v>
      </x:c>
      <x:c r="C30" s="7" t="s">
        <x:v>221</x:v>
      </x:c>
      <x:c r="D30" s="7" t="s">
        <x:v>222</x:v>
      </x:c>
      <x:c r="E30" s="7" t="s">
        <x:v>223</x:v>
      </x:c>
      <x:c r="F30" s="7" t="s">
        <x:v>224</x:v>
      </x:c>
      <x:c r="G30" s="7" t="s">
        <x:v>225</x:v>
      </x:c>
      <x:c r="H30" s="7" t="s">
        <x:v>72</x:v>
      </x:c>
      <x:c r="I30" s="7" t="s">
        <x:v>25</x:v>
      </x:c>
      <x:c r="J30" s="7" t="s">
        <x:v>54</x:v>
      </x:c>
      <x:c r="K30" s="7" t="s">
        <x:v>211</x:v>
      </x:c>
      <x:c r="L30" s="7" t="s">
        <x:v>55</x:v>
      </x:c>
      <x:c r="M30" s="7"/>
      <x:c r="N30" s="7" t="s">
        <x:v>226</x:v>
      </x:c>
      <x:c r="O30" s="7"/>
      <x:c r="P30" s="7" t="s">
        <x:v>227</x:v>
      </x:c>
    </x:row>
    <x:row r="31" ht="64.5" customHeight="1">
      <x:c r="A31" s="7" t="s">
        <x:v>228</x:v>
      </x:c>
      <x:c r="B31" s="7" t="s">
        <x:v>212</x:v>
      </x:c>
      <x:c r="C31" s="7" t="s">
        <x:v>229</x:v>
      </x:c>
      <x:c r="D31" s="7" t="s">
        <x:v>230</x:v>
      </x:c>
      <x:c r="E31" s="7" t="s">
        <x:v>231</x:v>
      </x:c>
      <x:c r="F31" s="7" t="s">
        <x:v>232</x:v>
      </x:c>
      <x:c r="G31" s="7" t="s">
        <x:v>233</x:v>
      </x:c>
      <x:c r="H31" s="7" t="s">
        <x:v>72</x:v>
      </x:c>
      <x:c r="I31" s="7" t="s">
        <x:v>25</x:v>
      </x:c>
      <x:c r="J31" s="7" t="s">
        <x:v>43</x:v>
      </x:c>
      <x:c r="K31" s="7" t="s">
        <x:v>211</x:v>
      </x:c>
      <x:c r="L31" s="7" t="s">
        <x:v>55</x:v>
      </x:c>
      <x:c r="M31" s="7"/>
      <x:c r="N31" s="7" t="s">
        <x:v>234</x:v>
      </x:c>
      <x:c r="O31" s="7"/>
      <x:c r="P31" s="7" t="s">
        <x:v>235</x:v>
      </x:c>
    </x:row>
    <x:row r="32" ht="64.5" customHeight="1">
      <x:c r="A32" s="7" t="s">
        <x:v>236</x:v>
      </x:c>
      <x:c r="B32" s="7" t="s">
        <x:v>212</x:v>
      </x:c>
      <x:c r="C32" s="7" t="s">
        <x:v>237</x:v>
      </x:c>
      <x:c r="D32" s="7" t="s">
        <x:v>238</x:v>
      </x:c>
      <x:c r="E32" s="7" t="s">
        <x:v>239</x:v>
      </x:c>
      <x:c r="F32" s="7" t="s">
        <x:v>240</x:v>
      </x:c>
      <x:c r="G32" s="7" t="s">
        <x:v>241</x:v>
      </x:c>
      <x:c r="H32" s="7" t="s">
        <x:v>72</x:v>
      </x:c>
      <x:c r="I32" s="7" t="s">
        <x:v>25</x:v>
      </x:c>
      <x:c r="J32" s="7" t="s">
        <x:v>43</x:v>
      </x:c>
      <x:c r="K32" s="7" t="s">
        <x:v>211</x:v>
      </x:c>
      <x:c r="L32" s="7" t="s">
        <x:v>55</x:v>
      </x:c>
      <x:c r="M32" s="7"/>
      <x:c r="N32" s="7" t="s">
        <x:v>242</x:v>
      </x:c>
      <x:c r="O32" s="7"/>
      <x:c r="P32" s="7" t="s">
        <x:v>243</x:v>
      </x:c>
    </x:row>
    <x:row r="33" ht="64.5" customHeight="1">
      <x:c r="A33" s="7" t="s">
        <x:v>244</x:v>
      </x:c>
      <x:c r="B33" s="7" t="s">
        <x:v>212</x:v>
      </x:c>
      <x:c r="C33" s="7" t="s">
        <x:v>245</x:v>
      </x:c>
      <x:c r="D33" s="7" t="s">
        <x:v>246</x:v>
      </x:c>
      <x:c r="E33" s="7" t="s">
        <x:v>247</x:v>
      </x:c>
      <x:c r="F33" s="7" t="s">
        <x:v>248</x:v>
      </x:c>
      <x:c r="G33" s="7" t="s">
        <x:v>249</x:v>
      </x:c>
      <x:c r="H33" s="7" t="s">
        <x:v>72</x:v>
      </x:c>
      <x:c r="I33" s="7" t="s">
        <x:v>185</x:v>
      </x:c>
      <x:c r="J33" s="7" t="s">
        <x:v>43</x:v>
      </x:c>
      <x:c r="K33" s="7" t="s">
        <x:v>250</x:v>
      </x:c>
      <x:c r="L33" s="7" t="s">
        <x:v>55</x:v>
      </x:c>
      <x:c r="M33" s="7"/>
      <x:c r="N33" s="7" t="s">
        <x:v>251</x:v>
      </x:c>
      <x:c r="O33" s="7"/>
      <x:c r="P33" s="7" t="s">
        <x:v>252</x:v>
      </x:c>
    </x:row>
    <x:row r="34" ht="64.5" customHeight="1">
      <x:c r="A34" s="7" t="s">
        <x:v>253</x:v>
      </x:c>
      <x:c r="B34" s="7" t="s">
        <x:v>254</x:v>
      </x:c>
      <x:c r="C34" s="7" t="s">
        <x:v>255</x:v>
      </x:c>
      <x:c r="D34" s="7" t="s">
        <x:v>256</x:v>
      </x:c>
      <x:c r="E34" s="7" t="s">
        <x:v>257</x:v>
      </x:c>
      <x:c r="F34" s="7" t="s">
        <x:v>258</x:v>
      </x:c>
      <x:c r="G34" s="7" t="s">
        <x:v>259</x:v>
      </x:c>
      <x:c r="H34" s="7" t="s">
        <x:v>24</x:v>
      </x:c>
      <x:c r="I34" s="7" t="s">
        <x:v>25</x:v>
      </x:c>
      <x:c r="J34" s="7" t="s">
        <x:v>43</x:v>
      </x:c>
      <x:c r="K34" s="7" t="s">
        <x:v>140</x:v>
      </x:c>
      <x:c r="L34" s="9" t="s">
        <x:v>27</x:v>
      </x:c>
      <x:c r="M34" s="9" t="s">
        <x:v>28</x:v>
      </x:c>
      <x:c r="N34" s="7" t="s">
        <x:v>260</x:v>
      </x:c>
      <x:c r="O34" s="7"/>
      <x:c r="P34" s="7" t="s">
        <x:v>261</x:v>
      </x:c>
    </x:row>
    <x:row r="35" ht="64.5" customHeight="1">
      <x:c r="A35" s="10" t="s">
        <x:v>262</x:v>
      </x:c>
      <x:c r="B35" s="10" t="s">
        <x:v>254</x:v>
      </x:c>
      <x:c r="C35" s="10" t="s">
        <x:v>263</x:v>
      </x:c>
      <x:c r="D35" s="10" t="s">
        <x:v>264</x:v>
      </x:c>
      <x:c r="E35" s="10" t="s">
        <x:v>265</x:v>
      </x:c>
      <x:c r="F35" s="10" t="s">
        <x:v>266</x:v>
      </x:c>
      <x:c r="G35" s="10" t="s">
        <x:v>267</x:v>
      </x:c>
      <x:c r="H35" s="10" t="s">
        <x:v>24</x:v>
      </x:c>
      <x:c r="I35" s="10" t="s">
        <x:v>185</x:v>
      </x:c>
      <x:c r="J35" s="10" t="s">
        <x:v>54</x:v>
      </x:c>
      <x:c r="K35" s="10" t="s">
        <x:v>253</x:v>
      </x:c>
      <x:c r="L35" s="10" t="s">
        <x:v>27</x:v>
      </x:c>
      <x:c r="M35" s="9" t="s">
        <x:v>28</x:v>
      </x:c>
      <x:c r="N35" s="10" t="s">
        <x:v>268</x:v>
      </x:c>
      <x:c r="O35" s="7"/>
      <x:c r="P35" s="10" t="s">
        <x:v>269</x:v>
      </x:c>
    </x:row>
    <x:row r="36" ht="64.5" customHeight="1">
      <x:c r="A36" s="10" t="s">
        <x:v>270</x:v>
      </x:c>
      <x:c r="B36" s="10" t="s">
        <x:v>254</x:v>
      </x:c>
      <x:c r="C36" s="10" t="s">
        <x:v>271</x:v>
      </x:c>
      <x:c r="D36" s="10" t="s">
        <x:v>272</x:v>
      </x:c>
      <x:c r="E36" s="10" t="s">
        <x:v>273</x:v>
      </x:c>
      <x:c r="F36" s="10" t="s">
        <x:v>274</x:v>
      </x:c>
      <x:c r="G36" s="10" t="s">
        <x:v>275</x:v>
      </x:c>
      <x:c r="H36" s="10" t="s">
        <x:v>24</x:v>
      </x:c>
      <x:c r="I36" s="10" t="s">
        <x:v>185</x:v>
      </x:c>
      <x:c r="J36" s="10" t="s">
        <x:v>54</x:v>
      </x:c>
      <x:c r="K36" s="10" t="s">
        <x:v>276</x:v>
      </x:c>
      <x:c r="L36" s="10" t="s">
        <x:v>55</x:v>
      </x:c>
      <x:c r="M36" s="7"/>
      <x:c r="N36" s="10" t="s">
        <x:v>277</x:v>
      </x:c>
      <x:c r="O36" s="10" t="s">
        <x:v>278</x:v>
      </x:c>
      <x:c r="P36" s="10" t="s">
        <x:v>279</x:v>
      </x:c>
    </x:row>
    <x:row r="37" ht="64.5" customHeight="1">
      <x:c r="A37" s="10" t="s">
        <x:v>280</x:v>
      </x:c>
      <x:c r="B37" s="10" t="s">
        <x:v>254</x:v>
      </x:c>
      <x:c r="C37" s="10" t="s">
        <x:v>271</x:v>
      </x:c>
      <x:c r="D37" s="10" t="s">
        <x:v>281</x:v>
      </x:c>
      <x:c r="E37" s="10" t="s">
        <x:v>282</x:v>
      </x:c>
      <x:c r="F37" s="10" t="s">
        <x:v>283</x:v>
      </x:c>
      <x:c r="G37" s="10" t="s">
        <x:v>284</x:v>
      </x:c>
      <x:c r="H37" s="10" t="s">
        <x:v>24</x:v>
      </x:c>
      <x:c r="I37" s="10" t="s">
        <x:v>185</x:v>
      </x:c>
      <x:c r="J37" s="10" t="s">
        <x:v>54</x:v>
      </x:c>
      <x:c r="K37" s="10" t="s">
        <x:v>285</x:v>
      </x:c>
      <x:c r="L37" s="10" t="s">
        <x:v>55</x:v>
      </x:c>
      <x:c r="M37" s="7"/>
      <x:c r="N37" s="10" t="s">
        <x:v>286</x:v>
      </x:c>
      <x:c r="O37" s="10" t="s">
        <x:v>287</x:v>
      </x:c>
      <x:c r="P37" s="10" t="s">
        <x:v>288</x:v>
      </x:c>
    </x:row>
    <x:row r="38" ht="64.5" customHeight="1">
      <x:c r="A38" s="10" t="s">
        <x:v>289</x:v>
      </x:c>
      <x:c r="B38" s="10" t="s">
        <x:v>254</x:v>
      </x:c>
      <x:c r="C38" s="10" t="s">
        <x:v>271</x:v>
      </x:c>
      <x:c r="D38" s="10" t="s">
        <x:v>290</x:v>
      </x:c>
      <x:c r="E38" s="10" t="s">
        <x:v>291</x:v>
      </x:c>
      <x:c r="F38" s="10" t="s">
        <x:v>292</x:v>
      </x:c>
      <x:c r="G38" s="10" t="s">
        <x:v>293</x:v>
      </x:c>
      <x:c r="H38" s="10" t="s">
        <x:v>72</x:v>
      </x:c>
      <x:c r="I38" s="10" t="s">
        <x:v>185</x:v>
      </x:c>
      <x:c r="J38" s="10" t="s">
        <x:v>54</x:v>
      </x:c>
      <x:c r="K38" s="10" t="s">
        <x:v>294</x:v>
      </x:c>
      <x:c r="L38" s="10" t="s">
        <x:v>27</x:v>
      </x:c>
      <x:c r="M38" s="9" t="s">
        <x:v>28</x:v>
      </x:c>
      <x:c r="N38" s="10" t="s">
        <x:v>295</x:v>
      </x:c>
      <x:c r="O38" s="10" t="s">
        <x:v>296</x:v>
      </x:c>
      <x:c r="P38" s="10" t="s">
        <x:v>297</x:v>
      </x:c>
    </x:row>
    <x:row r="39" ht="64.5" customHeight="1">
      <x:c r="A39" s="10" t="s">
        <x:v>298</x:v>
      </x:c>
      <x:c r="B39" s="10" t="s">
        <x:v>254</x:v>
      </x:c>
      <x:c r="C39" s="10" t="s">
        <x:v>271</x:v>
      </x:c>
      <x:c r="D39" s="10" t="s">
        <x:v>299</x:v>
      </x:c>
      <x:c r="E39" s="10" t="s">
        <x:v>300</x:v>
      </x:c>
      <x:c r="F39" s="10" t="s">
        <x:v>301</x:v>
      </x:c>
      <x:c r="G39" s="10" t="s">
        <x:v>302</x:v>
      </x:c>
      <x:c r="H39" s="10" t="s">
        <x:v>72</x:v>
      </x:c>
      <x:c r="I39" s="10" t="s">
        <x:v>185</x:v>
      </x:c>
      <x:c r="J39" s="10" t="s">
        <x:v>54</x:v>
      </x:c>
      <x:c r="K39" s="10" t="s">
        <x:v>270</x:v>
      </x:c>
      <x:c r="L39" s="10" t="s">
        <x:v>55</x:v>
      </x:c>
      <x:c r="M39" s="7"/>
      <x:c r="N39" s="10" t="s">
        <x:v>303</x:v>
      </x:c>
      <x:c r="O39" s="10" t="s">
        <x:v>304</x:v>
      </x:c>
      <x:c r="P39" s="10" t="s">
        <x:v>305</x:v>
      </x:c>
    </x:row>
    <x:row r="40" ht="64.5" customHeight="1">
      <x:c r="A40" s="10" t="s">
        <x:v>306</x:v>
      </x:c>
      <x:c r="B40" s="10" t="s">
        <x:v>254</x:v>
      </x:c>
      <x:c r="C40" s="10" t="s">
        <x:v>271</x:v>
      </x:c>
      <x:c r="D40" s="10" t="s">
        <x:v>307</x:v>
      </x:c>
      <x:c r="E40" s="10" t="s">
        <x:v>308</x:v>
      </x:c>
      <x:c r="F40" s="10" t="s">
        <x:v>309</x:v>
      </x:c>
      <x:c r="G40" s="10" t="s">
        <x:v>310</x:v>
      </x:c>
      <x:c r="H40" s="10" t="s">
        <x:v>72</x:v>
      </x:c>
      <x:c r="I40" s="10" t="s">
        <x:v>311</x:v>
      </x:c>
      <x:c r="J40" s="10" t="s">
        <x:v>54</x:v>
      </x:c>
      <x:c r="K40" s="10" t="s">
        <x:v>312</x:v>
      </x:c>
      <x:c r="L40" s="10" t="s">
        <x:v>27</x:v>
      </x:c>
      <x:c r="M40" s="9" t="s">
        <x:v>28</x:v>
      </x:c>
      <x:c r="N40" s="10" t="s">
        <x:v>313</x:v>
      </x:c>
      <x:c r="O40" s="10" t="s">
        <x:v>314</x:v>
      </x:c>
      <x:c r="P40" s="10" t="s">
        <x:v>315</x:v>
      </x:c>
    </x:row>
    <x:row r="41" ht="64.5" customHeight="1">
      <x:c r="A41" s="10" t="s">
        <x:v>316</x:v>
      </x:c>
      <x:c r="B41" s="10" t="s">
        <x:v>254</x:v>
      </x:c>
      <x:c r="C41" s="10" t="s">
        <x:v>271</x:v>
      </x:c>
      <x:c r="D41" s="10" t="s">
        <x:v>317</x:v>
      </x:c>
      <x:c r="E41" s="10" t="s">
        <x:v>318</x:v>
      </x:c>
      <x:c r="F41" s="10" t="s">
        <x:v>319</x:v>
      </x:c>
      <x:c r="G41" s="10" t="s">
        <x:v>320</x:v>
      </x:c>
      <x:c r="H41" s="10" t="s">
        <x:v>72</x:v>
      </x:c>
      <x:c r="I41" s="10" t="s">
        <x:v>311</x:v>
      </x:c>
      <x:c r="J41" s="10" t="s">
        <x:v>54</x:v>
      </x:c>
      <x:c r="K41" s="10" t="s">
        <x:v>294</x:v>
      </x:c>
      <x:c r="L41" s="10" t="s">
        <x:v>27</x:v>
      </x:c>
      <x:c r="M41" s="9" t="s">
        <x:v>28</x:v>
      </x:c>
      <x:c r="N41" s="10" t="s">
        <x:v>321</x:v>
      </x:c>
      <x:c r="O41" s="10" t="s">
        <x:v>322</x:v>
      </x:c>
      <x:c r="P41" s="10" t="s">
        <x:v>323</x:v>
      </x:c>
    </x:row>
    <x:row r="42" ht="64.5" customHeight="1">
      <x:c r="A42" s="10" t="s">
        <x:v>324</x:v>
      </x:c>
      <x:c r="B42" s="10" t="s">
        <x:v>254</x:v>
      </x:c>
      <x:c r="C42" s="10" t="s">
        <x:v>271</x:v>
      </x:c>
      <x:c r="D42" s="10" t="s">
        <x:v>325</x:v>
      </x:c>
      <x:c r="E42" s="10" t="s">
        <x:v>326</x:v>
      </x:c>
      <x:c r="F42" s="10" t="s">
        <x:v>327</x:v>
      </x:c>
      <x:c r="G42" s="10" t="s">
        <x:v>328</x:v>
      </x:c>
      <x:c r="H42" s="10" t="s">
        <x:v>329</x:v>
      </x:c>
      <x:c r="I42" s="10" t="s">
        <x:v>330</x:v>
      </x:c>
      <x:c r="J42" s="10" t="s">
        <x:v>54</x:v>
      </x:c>
      <x:c r="K42" s="10" t="s">
        <x:v>270</x:v>
      </x:c>
      <x:c r="L42" s="10" t="s">
        <x:v>55</x:v>
      </x:c>
      <x:c r="M42" s="7"/>
      <x:c r="N42" s="10" t="s">
        <x:v>331</x:v>
      </x:c>
      <x:c r="O42" s="10" t="s">
        <x:v>332</x:v>
      </x:c>
      <x:c r="P42" s="10" t="s">
        <x:v>333</x:v>
      </x:c>
    </x:row>
    <x:row r="43" ht="64.5" customHeight="1">
      <x:c r="A43" s="10" t="s">
        <x:v>334</x:v>
      </x:c>
      <x:c r="B43" s="10" t="s">
        <x:v>335</x:v>
      </x:c>
      <x:c r="C43" s="10" t="s">
        <x:v>336</x:v>
      </x:c>
      <x:c r="D43" s="10" t="s">
        <x:v>337</x:v>
      </x:c>
      <x:c r="E43" s="10" t="s">
        <x:v>338</x:v>
      </x:c>
      <x:c r="F43" s="10" t="s">
        <x:v>339</x:v>
      </x:c>
      <x:c r="G43" s="10" t="s">
        <x:v>340</x:v>
      </x:c>
      <x:c r="H43" s="10" t="s">
        <x:v>24</x:v>
      </x:c>
      <x:c r="I43" s="10" t="s">
        <x:v>185</x:v>
      </x:c>
      <x:c r="J43" s="10" t="s">
        <x:v>54</x:v>
      </x:c>
      <x:c r="K43" s="10" t="s">
        <x:v>253</x:v>
      </x:c>
      <x:c r="L43" s="10" t="s">
        <x:v>27</x:v>
      </x:c>
      <x:c r="M43" s="9" t="s">
        <x:v>28</x:v>
      </x:c>
      <x:c r="N43" s="10" t="s">
        <x:v>341</x:v>
      </x:c>
      <x:c r="O43" s="10" t="s">
        <x:v>342</x:v>
      </x:c>
      <x:c r="P43" s="10" t="s">
        <x:v>343</x:v>
      </x:c>
    </x:row>
    <x:row r="44" ht="64.5" customHeight="1">
      <x:c r="A44" s="10" t="s">
        <x:v>344</x:v>
      </x:c>
      <x:c r="B44" s="10" t="s">
        <x:v>335</x:v>
      </x:c>
      <x:c r="C44" s="10" t="s">
        <x:v>336</x:v>
      </x:c>
      <x:c r="D44" s="10" t="s">
        <x:v>345</x:v>
      </x:c>
      <x:c r="E44" s="10" t="s">
        <x:v>346</x:v>
      </x:c>
      <x:c r="F44" s="10" t="s">
        <x:v>347</x:v>
      </x:c>
      <x:c r="G44" s="10" t="s">
        <x:v>348</x:v>
      </x:c>
      <x:c r="H44" s="10" t="s">
        <x:v>24</x:v>
      </x:c>
      <x:c r="I44" s="10" t="s">
        <x:v>185</x:v>
      </x:c>
      <x:c r="J44" s="10" t="s">
        <x:v>54</x:v>
      </x:c>
      <x:c r="K44" s="10" t="s">
        <x:v>349</x:v>
      </x:c>
      <x:c r="L44" s="10" t="s">
        <x:v>55</x:v>
      </x:c>
      <x:c r="M44" s="7"/>
      <x:c r="N44" s="10" t="s">
        <x:v>350</x:v>
      </x:c>
      <x:c r="O44" s="10" t="s">
        <x:v>351</x:v>
      </x:c>
      <x:c r="P44" s="10" t="s">
        <x:v>352</x:v>
      </x:c>
    </x:row>
    <x:row r="45" ht="64.5" customHeight="1">
      <x:c r="A45" s="10" t="s">
        <x:v>353</x:v>
      </x:c>
      <x:c r="B45" s="10" t="s">
        <x:v>335</x:v>
      </x:c>
      <x:c r="C45" s="10" t="s">
        <x:v>354</x:v>
      </x:c>
      <x:c r="D45" s="10" t="s">
        <x:v>355</x:v>
      </x:c>
      <x:c r="E45" s="10" t="s">
        <x:v>356</x:v>
      </x:c>
      <x:c r="F45" s="10" t="s">
        <x:v>357</x:v>
      </x:c>
      <x:c r="G45" s="10" t="s">
        <x:v>358</x:v>
      </x:c>
      <x:c r="H45" s="10" t="s">
        <x:v>24</x:v>
      </x:c>
      <x:c r="I45" s="10" t="s">
        <x:v>185</x:v>
      </x:c>
      <x:c r="J45" s="10" t="s">
        <x:v>26</x:v>
      </x:c>
      <x:c r="K45" s="10" t="s">
        <x:v>334</x:v>
      </x:c>
      <x:c r="L45" s="10" t="s">
        <x:v>27</x:v>
      </x:c>
      <x:c r="M45" s="9" t="s">
        <x:v>359</x:v>
      </x:c>
      <x:c r="N45" s="10" t="s">
        <x:v>360</x:v>
      </x:c>
      <x:c r="O45" s="7"/>
      <x:c r="P45" s="10" t="s">
        <x:v>361</x:v>
      </x:c>
    </x:row>
    <x:row r="46" ht="64.5" customHeight="1">
      <x:c r="A46" s="10" t="s">
        <x:v>362</x:v>
      </x:c>
      <x:c r="B46" s="10" t="s">
        <x:v>335</x:v>
      </x:c>
      <x:c r="C46" s="10" t="s">
        <x:v>354</x:v>
      </x:c>
      <x:c r="D46" s="10" t="s">
        <x:v>363</x:v>
      </x:c>
      <x:c r="E46" s="10" t="s">
        <x:v>364</x:v>
      </x:c>
      <x:c r="F46" s="10" t="s">
        <x:v>365</x:v>
      </x:c>
      <x:c r="G46" s="10" t="s">
        <x:v>366</x:v>
      </x:c>
      <x:c r="H46" s="10" t="s">
        <x:v>24</x:v>
      </x:c>
      <x:c r="I46" s="10" t="s">
        <x:v>185</x:v>
      </x:c>
      <x:c r="J46" s="10" t="s">
        <x:v>26</x:v>
      </x:c>
      <x:c r="K46" s="10" t="s">
        <x:v>353</x:v>
      </x:c>
      <x:c r="L46" s="10" t="s">
        <x:v>27</x:v>
      </x:c>
      <x:c r="M46" s="9" t="s">
        <x:v>367</x:v>
      </x:c>
      <x:c r="N46" s="10" t="s">
        <x:v>368</x:v>
      </x:c>
      <x:c r="O46" s="7"/>
      <x:c r="P46" s="10" t="s">
        <x:v>369</x:v>
      </x:c>
    </x:row>
    <x:row r="47" ht="64.5" customHeight="1">
      <x:c r="A47" s="10" t="s">
        <x:v>370</x:v>
      </x:c>
      <x:c r="B47" s="10" t="s">
        <x:v>335</x:v>
      </x:c>
      <x:c r="C47" s="10" t="s">
        <x:v>354</x:v>
      </x:c>
      <x:c r="D47" s="10" t="s">
        <x:v>371</x:v>
      </x:c>
      <x:c r="E47" s="10" t="s">
        <x:v>372</x:v>
      </x:c>
      <x:c r="F47" s="10" t="s">
        <x:v>373</x:v>
      </x:c>
      <x:c r="G47" s="10" t="s">
        <x:v>374</x:v>
      </x:c>
      <x:c r="H47" s="10" t="s">
        <x:v>72</x:v>
      </x:c>
      <x:c r="I47" s="10" t="s">
        <x:v>185</x:v>
      </x:c>
      <x:c r="J47" s="10" t="s">
        <x:v>43</x:v>
      </x:c>
      <x:c r="K47" s="10" t="s">
        <x:v>375</x:v>
      </x:c>
      <x:c r="L47" s="10" t="s">
        <x:v>27</x:v>
      </x:c>
      <x:c r="M47" s="9" t="s">
        <x:v>28</x:v>
      </x:c>
      <x:c r="N47" s="10" t="s">
        <x:v>376</x:v>
      </x:c>
      <x:c r="O47" s="7"/>
      <x:c r="P47" s="10" t="s">
        <x:v>377</x:v>
      </x:c>
    </x:row>
    <x:row r="48" ht="64.5" customHeight="1">
      <x:c r="A48" s="10" t="s">
        <x:v>378</x:v>
      </x:c>
      <x:c r="B48" s="10" t="s">
        <x:v>335</x:v>
      </x:c>
      <x:c r="C48" s="10" t="s">
        <x:v>354</x:v>
      </x:c>
      <x:c r="D48" s="10" t="s">
        <x:v>379</x:v>
      </x:c>
      <x:c r="E48" s="10" t="s">
        <x:v>380</x:v>
      </x:c>
      <x:c r="F48" s="10" t="s">
        <x:v>381</x:v>
      </x:c>
      <x:c r="G48" s="10" t="s">
        <x:v>382</x:v>
      </x:c>
      <x:c r="H48" s="10" t="s">
        <x:v>24</x:v>
      </x:c>
      <x:c r="I48" s="10" t="s">
        <x:v>185</x:v>
      </x:c>
      <x:c r="J48" s="10" t="s">
        <x:v>43</x:v>
      </x:c>
      <x:c r="K48" s="10" t="s">
        <x:v>383</x:v>
      </x:c>
      <x:c r="L48" s="10" t="s">
        <x:v>27</x:v>
      </x:c>
      <x:c r="M48" s="9" t="s">
        <x:v>28</x:v>
      </x:c>
      <x:c r="N48" s="10" t="s">
        <x:v>384</x:v>
      </x:c>
      <x:c r="O48" s="7"/>
      <x:c r="P48" s="10" t="s">
        <x:v>385</x:v>
      </x:c>
    </x:row>
    <x:row r="49" ht="64.5" customHeight="1">
      <x:c r="A49" s="10" t="s">
        <x:v>386</x:v>
      </x:c>
      <x:c r="B49" s="10" t="s">
        <x:v>335</x:v>
      </x:c>
      <x:c r="C49" s="10" t="s">
        <x:v>336</x:v>
      </x:c>
      <x:c r="D49" s="10" t="s">
        <x:v>387</x:v>
      </x:c>
      <x:c r="E49" s="10" t="s">
        <x:v>388</x:v>
      </x:c>
      <x:c r="F49" s="10" t="s">
        <x:v>389</x:v>
      </x:c>
      <x:c r="G49" s="10" t="s">
        <x:v>390</x:v>
      </x:c>
      <x:c r="H49" s="10" t="s">
        <x:v>72</x:v>
      </x:c>
      <x:c r="I49" s="10" t="s">
        <x:v>185</x:v>
      </x:c>
      <x:c r="J49" s="10" t="s">
        <x:v>43</x:v>
      </x:c>
      <x:c r="K49" s="10" t="s">
        <x:v>344</x:v>
      </x:c>
      <x:c r="L49" s="10" t="s">
        <x:v>55</x:v>
      </x:c>
      <x:c r="M49" s="7"/>
      <x:c r="N49" s="10" t="s">
        <x:v>391</x:v>
      </x:c>
      <x:c r="O49" s="7"/>
      <x:c r="P49" s="10" t="s">
        <x:v>392</x:v>
      </x:c>
    </x:row>
    <x:row r="50" ht="64.5" customHeight="1">
      <x:c r="A50" s="10" t="s">
        <x:v>393</x:v>
      </x:c>
      <x:c r="B50" s="10" t="s">
        <x:v>335</x:v>
      </x:c>
      <x:c r="C50" s="10" t="s">
        <x:v>336</x:v>
      </x:c>
      <x:c r="D50" s="10" t="s">
        <x:v>394</x:v>
      </x:c>
      <x:c r="E50" s="10" t="s">
        <x:v>395</x:v>
      </x:c>
      <x:c r="F50" s="10" t="s">
        <x:v>396</x:v>
      </x:c>
      <x:c r="G50" s="10" t="s">
        <x:v>397</x:v>
      </x:c>
      <x:c r="H50" s="10" t="s">
        <x:v>24</x:v>
      </x:c>
      <x:c r="I50" s="10" t="s">
        <x:v>185</x:v>
      </x:c>
      <x:c r="J50" s="10" t="s">
        <x:v>43</x:v>
      </x:c>
      <x:c r="K50" s="10" t="s">
        <x:v>398</x:v>
      </x:c>
      <x:c r="L50" s="10" t="s">
        <x:v>55</x:v>
      </x:c>
      <x:c r="M50" s="7"/>
      <x:c r="N50" s="10" t="s">
        <x:v>399</x:v>
      </x:c>
      <x:c r="O50" s="7"/>
      <x:c r="P50" s="10" t="s">
        <x:v>400</x:v>
      </x:c>
    </x:row>
    <x:row r="51" ht="64.5" customHeight="1">
      <x:c r="A51" s="10" t="s">
        <x:v>401</x:v>
      </x:c>
      <x:c r="B51" s="10" t="s">
        <x:v>335</x:v>
      </x:c>
      <x:c r="C51" s="10" t="s">
        <x:v>336</x:v>
      </x:c>
      <x:c r="D51" s="10" t="s">
        <x:v>402</x:v>
      </x:c>
      <x:c r="E51" s="10" t="s">
        <x:v>403</x:v>
      </x:c>
      <x:c r="F51" s="10" t="s">
        <x:v>404</x:v>
      </x:c>
      <x:c r="G51" s="10" t="s">
        <x:v>405</x:v>
      </x:c>
      <x:c r="H51" s="10" t="s">
        <x:v>329</x:v>
      </x:c>
      <x:c r="I51" s="10" t="s">
        <x:v>311</x:v>
      </x:c>
      <x:c r="J51" s="10" t="s">
        <x:v>43</x:v>
      </x:c>
      <x:c r="K51" s="10" t="s">
        <x:v>406</x:v>
      </x:c>
      <x:c r="L51" s="10" t="s">
        <x:v>55</x:v>
      </x:c>
      <x:c r="M51" s="7"/>
      <x:c r="N51" s="10" t="s">
        <x:v>407</x:v>
      </x:c>
      <x:c r="O51" s="7"/>
      <x:c r="P51" s="10" t="s">
        <x:v>408</x:v>
      </x:c>
    </x:row>
    <x:row r="52" ht="64.5" customHeight="1">
      <x:c r="A52" s="10" t="s">
        <x:v>409</x:v>
      </x:c>
      <x:c r="B52" s="10" t="s">
        <x:v>141</x:v>
      </x:c>
      <x:c r="C52" s="10" t="s">
        <x:v>410</x:v>
      </x:c>
      <x:c r="D52" s="10" t="s">
        <x:v>411</x:v>
      </x:c>
      <x:c r="E52" s="10" t="s">
        <x:v>412</x:v>
      </x:c>
      <x:c r="F52" s="10" t="s">
        <x:v>413</x:v>
      </x:c>
      <x:c r="G52" s="10" t="s">
        <x:v>414</x:v>
      </x:c>
      <x:c r="H52" s="10" t="s">
        <x:v>24</x:v>
      </x:c>
      <x:c r="I52" s="10" t="s">
        <x:v>185</x:v>
      </x:c>
      <x:c r="J52" s="10" t="s">
        <x:v>54</x:v>
      </x:c>
      <x:c r="K52" s="10" t="s">
        <x:v>253</x:v>
      </x:c>
      <x:c r="L52" s="10" t="s">
        <x:v>27</x:v>
      </x:c>
      <x:c r="M52" s="9" t="s">
        <x:v>415</x:v>
      </x:c>
      <x:c r="N52" s="10" t="s">
        <x:v>416</x:v>
      </x:c>
      <x:c r="O52" s="7"/>
      <x:c r="P52" s="10" t="s">
        <x:v>417</x:v>
      </x:c>
    </x:row>
    <x:row r="53" ht="64.5" customHeight="1">
      <x:c r="A53" s="10" t="s">
        <x:v>418</x:v>
      </x:c>
      <x:c r="B53" s="10" t="s">
        <x:v>141</x:v>
      </x:c>
      <x:c r="C53" s="10" t="s">
        <x:v>410</x:v>
      </x:c>
      <x:c r="D53" s="10" t="s">
        <x:v>419</x:v>
      </x:c>
      <x:c r="E53" s="10" t="s">
        <x:v>420</x:v>
      </x:c>
      <x:c r="F53" s="10" t="s">
        <x:v>421</x:v>
      </x:c>
      <x:c r="G53" s="10" t="s">
        <x:v>422</x:v>
      </x:c>
      <x:c r="H53" s="10" t="s">
        <x:v>24</x:v>
      </x:c>
      <x:c r="I53" s="10" t="s">
        <x:v>185</x:v>
      </x:c>
      <x:c r="J53" s="10" t="s">
        <x:v>43</x:v>
      </x:c>
      <x:c r="K53" s="10" t="s">
        <x:v>409</x:v>
      </x:c>
      <x:c r="L53" s="10" t="s">
        <x:v>27</x:v>
      </x:c>
      <x:c r="M53" s="9" t="s">
        <x:v>423</x:v>
      </x:c>
      <x:c r="N53" s="10" t="s">
        <x:v>424</x:v>
      </x:c>
      <x:c r="O53" s="7"/>
      <x:c r="P53" s="10" t="s">
        <x:v>425</x:v>
      </x:c>
    </x:row>
    <x:row r="54" ht="64.5" customHeight="1">
      <x:c r="A54" s="10" t="s">
        <x:v>426</x:v>
      </x:c>
      <x:c r="B54" s="10" t="s">
        <x:v>141</x:v>
      </x:c>
      <x:c r="C54" s="10" t="s">
        <x:v>410</x:v>
      </x:c>
      <x:c r="D54" s="10" t="s">
        <x:v>427</x:v>
      </x:c>
      <x:c r="E54" s="10" t="s">
        <x:v>428</x:v>
      </x:c>
      <x:c r="F54" s="10" t="s">
        <x:v>429</x:v>
      </x:c>
      <x:c r="G54" s="10" t="s">
        <x:v>430</x:v>
      </x:c>
      <x:c r="H54" s="10" t="s">
        <x:v>24</x:v>
      </x:c>
      <x:c r="I54" s="10" t="s">
        <x:v>185</x:v>
      </x:c>
      <x:c r="J54" s="10" t="s">
        <x:v>43</x:v>
      </x:c>
      <x:c r="K54" s="10" t="s">
        <x:v>431</x:v>
      </x:c>
      <x:c r="L54" s="10" t="s">
        <x:v>27</x:v>
      </x:c>
      <x:c r="M54" s="9" t="s">
        <x:v>432</x:v>
      </x:c>
      <x:c r="N54" s="10" t="s">
        <x:v>433</x:v>
      </x:c>
      <x:c r="O54" s="7"/>
      <x:c r="P54" s="10" t="s">
        <x:v>434</x:v>
      </x:c>
    </x:row>
    <x:row r="55" ht="64.5" customHeight="1">
      <x:c r="A55" s="10" t="s">
        <x:v>435</x:v>
      </x:c>
      <x:c r="B55" s="10" t="s">
        <x:v>335</x:v>
      </x:c>
      <x:c r="C55" s="10" t="s">
        <x:v>436</x:v>
      </x:c>
      <x:c r="D55" s="10" t="s">
        <x:v>437</x:v>
      </x:c>
      <x:c r="E55" s="10" t="s">
        <x:v>438</x:v>
      </x:c>
      <x:c r="F55" s="10" t="s">
        <x:v>439</x:v>
      </x:c>
      <x:c r="G55" s="10" t="s">
        <x:v>440</x:v>
      </x:c>
      <x:c r="H55" s="10" t="s">
        <x:v>24</x:v>
      </x:c>
      <x:c r="I55" s="10" t="s">
        <x:v>311</x:v>
      </x:c>
      <x:c r="J55" s="10" t="s">
        <x:v>43</x:v>
      </x:c>
      <x:c r="K55" s="10" t="s">
        <x:v>441</x:v>
      </x:c>
      <x:c r="L55" s="10" t="s">
        <x:v>55</x:v>
      </x:c>
      <x:c r="M55" s="7"/>
      <x:c r="N55" s="10" t="s">
        <x:v>442</x:v>
      </x:c>
      <x:c r="O55" s="10" t="s">
        <x:v>443</x:v>
      </x:c>
      <x:c r="P55" s="10" t="s">
        <x:v>444</x:v>
      </x:c>
    </x:row>
    <x:row r="56" ht="64.5" customHeight="1">
      <x:c r="A56" s="10" t="s">
        <x:v>445</x:v>
      </x:c>
      <x:c r="B56" s="10" t="s">
        <x:v>335</x:v>
      </x:c>
      <x:c r="C56" s="10" t="s">
        <x:v>436</x:v>
      </x:c>
      <x:c r="D56" s="10" t="s">
        <x:v>446</x:v>
      </x:c>
      <x:c r="E56" s="10" t="s">
        <x:v>447</x:v>
      </x:c>
      <x:c r="F56" s="10" t="s">
        <x:v>439</x:v>
      </x:c>
      <x:c r="G56" s="10" t="s">
        <x:v>440</x:v>
      </x:c>
      <x:c r="H56" s="10" t="s">
        <x:v>24</x:v>
      </x:c>
      <x:c r="I56" s="10" t="s">
        <x:v>311</x:v>
      </x:c>
      <x:c r="J56" s="10" t="s">
        <x:v>43</x:v>
      </x:c>
      <x:c r="K56" s="10" t="s">
        <x:v>441</x:v>
      </x:c>
      <x:c r="L56" s="10" t="s">
        <x:v>55</x:v>
      </x:c>
      <x:c r="M56" s="7"/>
      <x:c r="N56" s="10" t="s">
        <x:v>442</x:v>
      </x:c>
      <x:c r="O56" s="10" t="s">
        <x:v>448</x:v>
      </x:c>
      <x:c r="P56" s="10" t="s">
        <x:v>449</x:v>
      </x:c>
    </x:row>
    <x:row r="57" ht="64.5" customHeight="1">
      <x:c r="A57" s="10" t="s">
        <x:v>450</x:v>
      </x:c>
      <x:c r="B57" s="10" t="s">
        <x:v>335</x:v>
      </x:c>
      <x:c r="C57" s="10" t="s">
        <x:v>436</x:v>
      </x:c>
      <x:c r="D57" s="10" t="s">
        <x:v>451</x:v>
      </x:c>
      <x:c r="E57" s="10" t="s">
        <x:v>452</x:v>
      </x:c>
      <x:c r="F57" s="10" t="s">
        <x:v>453</x:v>
      </x:c>
      <x:c r="G57" s="10" t="s">
        <x:v>440</x:v>
      </x:c>
      <x:c r="H57" s="10" t="s">
        <x:v>72</x:v>
      </x:c>
      <x:c r="I57" s="10" t="s">
        <x:v>311</x:v>
      </x:c>
      <x:c r="J57" s="10" t="s">
        <x:v>43</x:v>
      </x:c>
      <x:c r="K57" s="10" t="s">
        <x:v>441</x:v>
      </x:c>
      <x:c r="L57" s="10" t="s">
        <x:v>55</x:v>
      </x:c>
      <x:c r="M57" s="7"/>
      <x:c r="N57" s="10" t="s">
        <x:v>442</x:v>
      </x:c>
      <x:c r="O57" s="10" t="s">
        <x:v>454</x:v>
      </x:c>
      <x:c r="P57" s="10" t="s">
        <x:v>455</x:v>
      </x:c>
    </x:row>
    <x:row r="58" ht="64.5" customHeight="1">
      <x:c r="A58" s="10" t="s">
        <x:v>456</x:v>
      </x:c>
      <x:c r="B58" s="10" t="s">
        <x:v>335</x:v>
      </x:c>
      <x:c r="C58" s="10" t="s">
        <x:v>436</x:v>
      </x:c>
      <x:c r="D58" s="10" t="s">
        <x:v>457</x:v>
      </x:c>
      <x:c r="E58" s="10" t="s">
        <x:v>458</x:v>
      </x:c>
      <x:c r="F58" s="10" t="s">
        <x:v>439</x:v>
      </x:c>
      <x:c r="G58" s="10" t="s">
        <x:v>440</x:v>
      </x:c>
      <x:c r="H58" s="10" t="s">
        <x:v>72</x:v>
      </x:c>
      <x:c r="I58" s="10" t="s">
        <x:v>311</x:v>
      </x:c>
      <x:c r="J58" s="10" t="s">
        <x:v>43</x:v>
      </x:c>
      <x:c r="K58" s="10" t="s">
        <x:v>441</x:v>
      </x:c>
      <x:c r="L58" s="10" t="s">
        <x:v>55</x:v>
      </x:c>
      <x:c r="M58" s="7"/>
      <x:c r="N58" s="10" t="s">
        <x:v>442</x:v>
      </x:c>
      <x:c r="O58" s="10" t="s">
        <x:v>459</x:v>
      </x:c>
      <x:c r="P58" s="10" t="s">
        <x:v>460</x:v>
      </x:c>
    </x:row>
    <x:row r="59" ht="64.5" customHeight="1">
      <x:c r="A59" s="10" t="s">
        <x:v>461</x:v>
      </x:c>
      <x:c r="B59" s="10" t="s">
        <x:v>335</x:v>
      </x:c>
      <x:c r="C59" s="10" t="s">
        <x:v>436</x:v>
      </x:c>
      <x:c r="D59" s="10" t="s">
        <x:v>462</x:v>
      </x:c>
      <x:c r="E59" s="10" t="s">
        <x:v>463</x:v>
      </x:c>
      <x:c r="F59" s="10" t="s">
        <x:v>439</x:v>
      </x:c>
      <x:c r="G59" s="10" t="s">
        <x:v>440</x:v>
      </x:c>
      <x:c r="H59" s="10" t="s">
        <x:v>72</x:v>
      </x:c>
      <x:c r="I59" s="10" t="s">
        <x:v>311</x:v>
      </x:c>
      <x:c r="J59" s="10" t="s">
        <x:v>43</x:v>
      </x:c>
      <x:c r="K59" s="10" t="s">
        <x:v>441</x:v>
      </x:c>
      <x:c r="L59" s="10" t="s">
        <x:v>55</x:v>
      </x:c>
      <x:c r="M59" s="7"/>
      <x:c r="N59" s="10" t="s">
        <x:v>442</x:v>
      </x:c>
      <x:c r="O59" s="10" t="s">
        <x:v>464</x:v>
      </x:c>
      <x:c r="P59" s="10" t="s">
        <x:v>465</x:v>
      </x:c>
    </x:row>
    <x:row r="60" ht="64.5" customHeight="1">
      <x:c r="A60" s="10" t="s">
        <x:v>466</x:v>
      </x:c>
      <x:c r="B60" s="10" t="s">
        <x:v>335</x:v>
      </x:c>
      <x:c r="C60" s="10" t="s">
        <x:v>436</x:v>
      </x:c>
      <x:c r="D60" s="10" t="s">
        <x:v>467</x:v>
      </x:c>
      <x:c r="E60" s="10" t="s">
        <x:v>468</x:v>
      </x:c>
      <x:c r="F60" s="10" t="s">
        <x:v>439</x:v>
      </x:c>
      <x:c r="G60" s="10" t="s">
        <x:v>440</x:v>
      </x:c>
      <x:c r="H60" s="10" t="s">
        <x:v>72</x:v>
      </x:c>
      <x:c r="I60" s="10" t="s">
        <x:v>311</x:v>
      </x:c>
      <x:c r="J60" s="10" t="s">
        <x:v>43</x:v>
      </x:c>
      <x:c r="K60" s="10" t="s">
        <x:v>441</x:v>
      </x:c>
      <x:c r="L60" s="10" t="s">
        <x:v>55</x:v>
      </x:c>
      <x:c r="M60" s="7"/>
      <x:c r="N60" s="10" t="s">
        <x:v>442</x:v>
      </x:c>
      <x:c r="O60" s="10" t="s">
        <x:v>469</x:v>
      </x:c>
      <x:c r="P60" s="10" t="s">
        <x:v>470</x:v>
      </x:c>
    </x:row>
    <x:row r="61" ht="64.5" customHeight="1">
      <x:c r="A61" s="10" t="s">
        <x:v>471</x:v>
      </x:c>
      <x:c r="B61" s="10" t="s">
        <x:v>335</x:v>
      </x:c>
      <x:c r="C61" s="10" t="s">
        <x:v>436</x:v>
      </x:c>
      <x:c r="D61" s="10" t="s">
        <x:v>472</x:v>
      </x:c>
      <x:c r="E61" s="10" t="s">
        <x:v>473</x:v>
      </x:c>
      <x:c r="F61" s="10" t="s">
        <x:v>474</x:v>
      </x:c>
      <x:c r="G61" s="10" t="s">
        <x:v>440</x:v>
      </x:c>
      <x:c r="H61" s="10" t="s">
        <x:v>24</x:v>
      </x:c>
      <x:c r="I61" s="10" t="s">
        <x:v>311</x:v>
      </x:c>
      <x:c r="J61" s="10" t="s">
        <x:v>43</x:v>
      </x:c>
      <x:c r="K61" s="10" t="s">
        <x:v>441</x:v>
      </x:c>
      <x:c r="L61" s="10" t="s">
        <x:v>55</x:v>
      </x:c>
      <x:c r="M61" s="7"/>
      <x:c r="N61" s="10" t="s">
        <x:v>442</x:v>
      </x:c>
      <x:c r="O61" s="10" t="s">
        <x:v>475</x:v>
      </x:c>
      <x:c r="P61" s="10" t="s">
        <x:v>476</x:v>
      </x:c>
    </x:row>
    <x:row r="62" ht="64.5" customHeight="1">
      <x:c r="A62" s="10" t="s">
        <x:v>477</x:v>
      </x:c>
      <x:c r="B62" s="10" t="s">
        <x:v>335</x:v>
      </x:c>
      <x:c r="C62" s="10" t="s">
        <x:v>436</x:v>
      </x:c>
      <x:c r="D62" s="10" t="s">
        <x:v>478</x:v>
      </x:c>
      <x:c r="E62" s="10" t="s">
        <x:v>479</x:v>
      </x:c>
      <x:c r="F62" s="10" t="s">
        <x:v>474</x:v>
      </x:c>
      <x:c r="G62" s="10" t="s">
        <x:v>440</x:v>
      </x:c>
      <x:c r="H62" s="10" t="s">
        <x:v>24</x:v>
      </x:c>
      <x:c r="I62" s="10" t="s">
        <x:v>311</x:v>
      </x:c>
      <x:c r="J62" s="10" t="s">
        <x:v>43</x:v>
      </x:c>
      <x:c r="K62" s="10" t="s">
        <x:v>441</x:v>
      </x:c>
      <x:c r="L62" s="10" t="s">
        <x:v>55</x:v>
      </x:c>
      <x:c r="M62" s="7"/>
      <x:c r="N62" s="10" t="s">
        <x:v>442</x:v>
      </x:c>
      <x:c r="O62" s="10" t="s">
        <x:v>480</x:v>
      </x:c>
      <x:c r="P62" s="10" t="s">
        <x:v>481</x:v>
      </x:c>
    </x:row>
    <x:row r="63" ht="64.5" customHeight="1">
      <x:c r="A63" s="10" t="s">
        <x:v>482</x:v>
      </x:c>
      <x:c r="B63" s="10" t="s">
        <x:v>335</x:v>
      </x:c>
      <x:c r="C63" s="10" t="s">
        <x:v>436</x:v>
      </x:c>
      <x:c r="D63" s="10" t="s">
        <x:v>483</x:v>
      </x:c>
      <x:c r="E63" s="10" t="s">
        <x:v>484</x:v>
      </x:c>
      <x:c r="F63" s="10" t="s">
        <x:v>474</x:v>
      </x:c>
      <x:c r="G63" s="10" t="s">
        <x:v>440</x:v>
      </x:c>
      <x:c r="H63" s="10" t="s">
        <x:v>72</x:v>
      </x:c>
      <x:c r="I63" s="10" t="s">
        <x:v>311</x:v>
      </x:c>
      <x:c r="J63" s="10" t="s">
        <x:v>43</x:v>
      </x:c>
      <x:c r="K63" s="10" t="s">
        <x:v>441</x:v>
      </x:c>
      <x:c r="L63" s="10" t="s">
        <x:v>55</x:v>
      </x:c>
      <x:c r="M63" s="7"/>
      <x:c r="N63" s="10" t="s">
        <x:v>442</x:v>
      </x:c>
      <x:c r="O63" s="10" t="s">
        <x:v>485</x:v>
      </x:c>
      <x:c r="P63" s="10" t="s">
        <x:v>486</x:v>
      </x:c>
    </x:row>
    <x:row r="64" ht="64.5" customHeight="1">
      <x:c r="A64" s="10" t="s">
        <x:v>487</x:v>
      </x:c>
      <x:c r="B64" s="10" t="s">
        <x:v>335</x:v>
      </x:c>
      <x:c r="C64" s="10" t="s">
        <x:v>436</x:v>
      </x:c>
      <x:c r="D64" s="10" t="s">
        <x:v>488</x:v>
      </x:c>
      <x:c r="E64" s="10" t="s">
        <x:v>489</x:v>
      </x:c>
      <x:c r="F64" s="10" t="s">
        <x:v>474</x:v>
      </x:c>
      <x:c r="G64" s="10" t="s">
        <x:v>440</x:v>
      </x:c>
      <x:c r="H64" s="10" t="s">
        <x:v>72</x:v>
      </x:c>
      <x:c r="I64" s="10" t="s">
        <x:v>311</x:v>
      </x:c>
      <x:c r="J64" s="10" t="s">
        <x:v>43</x:v>
      </x:c>
      <x:c r="K64" s="10" t="s">
        <x:v>441</x:v>
      </x:c>
      <x:c r="L64" s="10" t="s">
        <x:v>55</x:v>
      </x:c>
      <x:c r="M64" s="7"/>
      <x:c r="N64" s="10" t="s">
        <x:v>442</x:v>
      </x:c>
      <x:c r="O64" s="10" t="s">
        <x:v>490</x:v>
      </x:c>
      <x:c r="P64" s="10" t="s">
        <x:v>491</x:v>
      </x:c>
    </x:row>
    <x:row r="65" ht="64.5" customHeight="1">
      <x:c r="A65" s="10" t="s">
        <x:v>492</x:v>
      </x:c>
      <x:c r="B65" s="10" t="s">
        <x:v>335</x:v>
      </x:c>
      <x:c r="C65" s="10" t="s">
        <x:v>436</x:v>
      </x:c>
      <x:c r="D65" s="10" t="s">
        <x:v>493</x:v>
      </x:c>
      <x:c r="E65" s="10" t="s">
        <x:v>494</x:v>
      </x:c>
      <x:c r="F65" s="10" t="s">
        <x:v>495</x:v>
      </x:c>
      <x:c r="G65" s="10" t="s">
        <x:v>440</x:v>
      </x:c>
      <x:c r="H65" s="10" t="s">
        <x:v>24</x:v>
      </x:c>
      <x:c r="I65" s="10" t="s">
        <x:v>311</x:v>
      </x:c>
      <x:c r="J65" s="10" t="s">
        <x:v>43</x:v>
      </x:c>
      <x:c r="K65" s="10" t="s">
        <x:v>441</x:v>
      </x:c>
      <x:c r="L65" s="10" t="s">
        <x:v>55</x:v>
      </x:c>
      <x:c r="M65" s="7"/>
      <x:c r="N65" s="10" t="s">
        <x:v>442</x:v>
      </x:c>
      <x:c r="O65" s="10" t="s">
        <x:v>496</x:v>
      </x:c>
      <x:c r="P65" s="10" t="s">
        <x:v>497</x:v>
      </x:c>
    </x:row>
    <x:row r="66" ht="64.5" customHeight="1">
      <x:c r="A66" s="10" t="s">
        <x:v>498</x:v>
      </x:c>
      <x:c r="B66" s="10" t="s">
        <x:v>335</x:v>
      </x:c>
      <x:c r="C66" s="10" t="s">
        <x:v>436</x:v>
      </x:c>
      <x:c r="D66" s="10" t="s">
        <x:v>499</x:v>
      </x:c>
      <x:c r="E66" s="10" t="s">
        <x:v>500</x:v>
      </x:c>
      <x:c r="F66" s="10" t="s">
        <x:v>501</x:v>
      </x:c>
      <x:c r="G66" s="10" t="s">
        <x:v>440</x:v>
      </x:c>
      <x:c r="H66" s="10" t="s">
        <x:v>72</x:v>
      </x:c>
      <x:c r="I66" s="10" t="s">
        <x:v>311</x:v>
      </x:c>
      <x:c r="J66" s="10" t="s">
        <x:v>43</x:v>
      </x:c>
      <x:c r="K66" s="10" t="s">
        <x:v>441</x:v>
      </x:c>
      <x:c r="L66" s="10" t="s">
        <x:v>55</x:v>
      </x:c>
      <x:c r="M66" s="7"/>
      <x:c r="N66" s="10" t="s">
        <x:v>442</x:v>
      </x:c>
      <x:c r="O66" s="10" t="s">
        <x:v>502</x:v>
      </x:c>
      <x:c r="P66" s="10" t="s">
        <x:v>503</x:v>
      </x:c>
    </x:row>
    <x:row r="67" ht="64.5" customHeight="1">
      <x:c r="A67" s="10" t="s">
        <x:v>504</x:v>
      </x:c>
      <x:c r="B67" s="10" t="s">
        <x:v>335</x:v>
      </x:c>
      <x:c r="C67" s="10" t="s">
        <x:v>436</x:v>
      </x:c>
      <x:c r="D67" s="10" t="s">
        <x:v>505</x:v>
      </x:c>
      <x:c r="E67" s="10" t="s">
        <x:v>506</x:v>
      </x:c>
      <x:c r="F67" s="10" t="s">
        <x:v>495</x:v>
      </x:c>
      <x:c r="G67" s="10" t="s">
        <x:v>440</x:v>
      </x:c>
      <x:c r="H67" s="10" t="s">
        <x:v>72</x:v>
      </x:c>
      <x:c r="I67" s="10" t="s">
        <x:v>311</x:v>
      </x:c>
      <x:c r="J67" s="10" t="s">
        <x:v>43</x:v>
      </x:c>
      <x:c r="K67" s="10" t="s">
        <x:v>441</x:v>
      </x:c>
      <x:c r="L67" s="10" t="s">
        <x:v>55</x:v>
      </x:c>
      <x:c r="M67" s="7"/>
      <x:c r="N67" s="10" t="s">
        <x:v>442</x:v>
      </x:c>
      <x:c r="O67" s="10" t="s">
        <x:v>507</x:v>
      </x:c>
      <x:c r="P67" s="10" t="s">
        <x:v>508</x:v>
      </x:c>
    </x:row>
    <x:row r="68" ht="64.5" customHeight="1">
      <x:c r="A68" s="10" t="s">
        <x:v>509</x:v>
      </x:c>
      <x:c r="B68" s="10" t="s">
        <x:v>335</x:v>
      </x:c>
      <x:c r="C68" s="10" t="s">
        <x:v>436</x:v>
      </x:c>
      <x:c r="D68" s="10" t="s">
        <x:v>510</x:v>
      </x:c>
      <x:c r="E68" s="10" t="s">
        <x:v>511</x:v>
      </x:c>
      <x:c r="F68" s="10" t="s">
        <x:v>495</x:v>
      </x:c>
      <x:c r="G68" s="10" t="s">
        <x:v>440</x:v>
      </x:c>
      <x:c r="H68" s="10" t="s">
        <x:v>72</x:v>
      </x:c>
      <x:c r="I68" s="10" t="s">
        <x:v>311</x:v>
      </x:c>
      <x:c r="J68" s="10" t="s">
        <x:v>43</x:v>
      </x:c>
      <x:c r="K68" s="10" t="s">
        <x:v>441</x:v>
      </x:c>
      <x:c r="L68" s="10" t="s">
        <x:v>55</x:v>
      </x:c>
      <x:c r="M68" s="7"/>
      <x:c r="N68" s="10" t="s">
        <x:v>442</x:v>
      </x:c>
      <x:c r="O68" s="10" t="s">
        <x:v>512</x:v>
      </x:c>
      <x:c r="P68" s="10" t="s">
        <x:v>513</x:v>
      </x:c>
    </x:row>
    <x:row r="69" ht="64.5" customHeight="1">
      <x:c r="A69" s="10" t="s">
        <x:v>514</x:v>
      </x:c>
      <x:c r="B69" s="10" t="s">
        <x:v>335</x:v>
      </x:c>
      <x:c r="C69" s="10" t="s">
        <x:v>436</x:v>
      </x:c>
      <x:c r="D69" s="10" t="s">
        <x:v>515</x:v>
      </x:c>
      <x:c r="E69" s="10" t="s">
        <x:v>516</x:v>
      </x:c>
      <x:c r="F69" s="10" t="s">
        <x:v>517</x:v>
      </x:c>
      <x:c r="G69" s="10" t="s">
        <x:v>440</x:v>
      </x:c>
      <x:c r="H69" s="10" t="s">
        <x:v>72</x:v>
      </x:c>
      <x:c r="I69" s="10" t="s">
        <x:v>311</x:v>
      </x:c>
      <x:c r="J69" s="10" t="s">
        <x:v>43</x:v>
      </x:c>
      <x:c r="K69" s="10" t="s">
        <x:v>441</x:v>
      </x:c>
      <x:c r="L69" s="10" t="s">
        <x:v>55</x:v>
      </x:c>
      <x:c r="M69" s="7"/>
      <x:c r="N69" s="10" t="s">
        <x:v>442</x:v>
      </x:c>
      <x:c r="O69" s="10" t="s">
        <x:v>518</x:v>
      </x:c>
      <x:c r="P69" s="10" t="s">
        <x:v>519</x:v>
      </x:c>
    </x:row>
    <x:row r="70" ht="64.5" customHeight="1">
      <x:c r="A70" s="10" t="s">
        <x:v>520</x:v>
      </x:c>
      <x:c r="B70" s="10" t="s">
        <x:v>335</x:v>
      </x:c>
      <x:c r="C70" s="10" t="s">
        <x:v>436</x:v>
      </x:c>
      <x:c r="D70" s="10" t="s">
        <x:v>521</x:v>
      </x:c>
      <x:c r="E70" s="10" t="s">
        <x:v>522</x:v>
      </x:c>
      <x:c r="F70" s="10" t="s">
        <x:v>517</x:v>
      </x:c>
      <x:c r="G70" s="10" t="s">
        <x:v>440</x:v>
      </x:c>
      <x:c r="H70" s="10" t="s">
        <x:v>72</x:v>
      </x:c>
      <x:c r="I70" s="10" t="s">
        <x:v>311</x:v>
      </x:c>
      <x:c r="J70" s="10" t="s">
        <x:v>43</x:v>
      </x:c>
      <x:c r="K70" s="10" t="s">
        <x:v>441</x:v>
      </x:c>
      <x:c r="L70" s="10" t="s">
        <x:v>55</x:v>
      </x:c>
      <x:c r="M70" s="7"/>
      <x:c r="N70" s="10" t="s">
        <x:v>442</x:v>
      </x:c>
      <x:c r="O70" s="10" t="s">
        <x:v>523</x:v>
      </x:c>
      <x:c r="P70" s="10" t="s">
        <x:v>524</x:v>
      </x:c>
    </x:row>
    <x:row r="71" ht="64.5" customHeight="1">
      <x:c r="A71" s="10" t="s">
        <x:v>525</x:v>
      </x:c>
      <x:c r="B71" s="10" t="s">
        <x:v>335</x:v>
      </x:c>
      <x:c r="C71" s="10" t="s">
        <x:v>436</x:v>
      </x:c>
      <x:c r="D71" s="10" t="s">
        <x:v>526</x:v>
      </x:c>
      <x:c r="E71" s="10" t="s">
        <x:v>527</x:v>
      </x:c>
      <x:c r="F71" s="10" t="s">
        <x:v>528</x:v>
      </x:c>
      <x:c r="G71" s="10" t="s">
        <x:v>440</x:v>
      </x:c>
      <x:c r="H71" s="10" t="s">
        <x:v>72</x:v>
      </x:c>
      <x:c r="I71" s="10" t="s">
        <x:v>311</x:v>
      </x:c>
      <x:c r="J71" s="10" t="s">
        <x:v>43</x:v>
      </x:c>
      <x:c r="K71" s="10" t="s">
        <x:v>441</x:v>
      </x:c>
      <x:c r="L71" s="10" t="s">
        <x:v>55</x:v>
      </x:c>
      <x:c r="M71" s="7"/>
      <x:c r="N71" s="10" t="s">
        <x:v>442</x:v>
      </x:c>
      <x:c r="O71" s="10" t="s">
        <x:v>529</x:v>
      </x:c>
      <x:c r="P71" s="10" t="s">
        <x:v>530</x:v>
      </x:c>
    </x:row>
    <x:row r="72" ht="64.5" customHeight="1">
      <x:c r="A72" s="10" t="s">
        <x:v>531</x:v>
      </x:c>
      <x:c r="B72" s="10" t="s">
        <x:v>335</x:v>
      </x:c>
      <x:c r="C72" s="10" t="s">
        <x:v>436</x:v>
      </x:c>
      <x:c r="D72" s="10" t="s">
        <x:v>532</x:v>
      </x:c>
      <x:c r="E72" s="10" t="s">
        <x:v>533</x:v>
      </x:c>
      <x:c r="F72" s="10" t="s">
        <x:v>528</x:v>
      </x:c>
      <x:c r="G72" s="10" t="s">
        <x:v>440</x:v>
      </x:c>
      <x:c r="H72" s="10" t="s">
        <x:v>72</x:v>
      </x:c>
      <x:c r="I72" s="10" t="s">
        <x:v>311</x:v>
      </x:c>
      <x:c r="J72" s="10" t="s">
        <x:v>43</x:v>
      </x:c>
      <x:c r="K72" s="10" t="s">
        <x:v>441</x:v>
      </x:c>
      <x:c r="L72" s="10" t="s">
        <x:v>55</x:v>
      </x:c>
      <x:c r="M72" s="7"/>
      <x:c r="N72" s="10" t="s">
        <x:v>442</x:v>
      </x:c>
      <x:c r="O72" s="10" t="s">
        <x:v>534</x:v>
      </x:c>
      <x:c r="P72" s="10" t="s">
        <x:v>535</x:v>
      </x:c>
    </x:row>
    <x:row r="73" ht="64.5" customHeight="1">
      <x:c r="A73" s="10" t="s">
        <x:v>536</x:v>
      </x:c>
      <x:c r="B73" s="10" t="s">
        <x:v>335</x:v>
      </x:c>
      <x:c r="C73" s="10" t="s">
        <x:v>436</x:v>
      </x:c>
      <x:c r="D73" s="10" t="s">
        <x:v>537</x:v>
      </x:c>
      <x:c r="E73" s="10" t="s">
        <x:v>538</x:v>
      </x:c>
      <x:c r="F73" s="10" t="s">
        <x:v>539</x:v>
      </x:c>
      <x:c r="G73" s="10" t="s">
        <x:v>440</x:v>
      </x:c>
      <x:c r="H73" s="10" t="s">
        <x:v>24</x:v>
      </x:c>
      <x:c r="I73" s="10" t="s">
        <x:v>311</x:v>
      </x:c>
      <x:c r="J73" s="10" t="s">
        <x:v>43</x:v>
      </x:c>
      <x:c r="K73" s="10" t="s">
        <x:v>441</x:v>
      </x:c>
      <x:c r="L73" s="10" t="s">
        <x:v>55</x:v>
      </x:c>
      <x:c r="M73" s="7"/>
      <x:c r="N73" s="10" t="s">
        <x:v>442</x:v>
      </x:c>
      <x:c r="O73" s="10" t="s">
        <x:v>540</x:v>
      </x:c>
      <x:c r="P73" s="10" t="s">
        <x:v>541</x:v>
      </x:c>
    </x:row>
    <x:row r="74" ht="64.5" customHeight="1">
      <x:c r="A74" s="10" t="s">
        <x:v>542</x:v>
      </x:c>
      <x:c r="B74" s="10" t="s">
        <x:v>335</x:v>
      </x:c>
      <x:c r="C74" s="10" t="s">
        <x:v>436</x:v>
      </x:c>
      <x:c r="D74" s="10" t="s">
        <x:v>543</x:v>
      </x:c>
      <x:c r="E74" s="10" t="s">
        <x:v>544</x:v>
      </x:c>
      <x:c r="F74" s="10" t="s">
        <x:v>545</x:v>
      </x:c>
      <x:c r="G74" s="10" t="s">
        <x:v>440</x:v>
      </x:c>
      <x:c r="H74" s="10" t="s">
        <x:v>24</x:v>
      </x:c>
      <x:c r="I74" s="10" t="s">
        <x:v>311</x:v>
      </x:c>
      <x:c r="J74" s="10" t="s">
        <x:v>43</x:v>
      </x:c>
      <x:c r="K74" s="10" t="s">
        <x:v>441</x:v>
      </x:c>
      <x:c r="L74" s="10" t="s">
        <x:v>55</x:v>
      </x:c>
      <x:c r="M74" s="7"/>
      <x:c r="N74" s="10" t="s">
        <x:v>442</x:v>
      </x:c>
      <x:c r="O74" s="10" t="s">
        <x:v>546</x:v>
      </x:c>
      <x:c r="P74" s="10" t="s">
        <x:v>547</x:v>
      </x:c>
    </x:row>
    <x:row r="75" ht="64.5" customHeight="1">
      <x:c r="A75" s="10" t="s">
        <x:v>548</x:v>
      </x:c>
      <x:c r="B75" s="10" t="s">
        <x:v>141</x:v>
      </x:c>
      <x:c r="C75" s="10" t="s">
        <x:v>549</x:v>
      </x:c>
      <x:c r="D75" s="10" t="s">
        <x:v>550</x:v>
      </x:c>
      <x:c r="E75" s="10" t="s">
        <x:v>551</x:v>
      </x:c>
      <x:c r="F75" s="10" t="s">
        <x:v>552</x:v>
      </x:c>
      <x:c r="G75" s="10" t="s">
        <x:v>553</x:v>
      </x:c>
      <x:c r="H75" s="10" t="s">
        <x:v>24</x:v>
      </x:c>
      <x:c r="I75" s="10" t="s">
        <x:v>185</x:v>
      </x:c>
      <x:c r="J75" s="10" t="s">
        <x:v>54</x:v>
      </x:c>
      <x:c r="K75" s="10" t="s">
        <x:v>554</x:v>
      </x:c>
      <x:c r="L75" s="10" t="s">
        <x:v>55</x:v>
      </x:c>
      <x:c r="M75" s="7"/>
      <x:c r="N75" s="10" t="s">
        <x:v>555</x:v>
      </x:c>
      <x:c r="O75" s="10" t="s">
        <x:v>556</x:v>
      </x:c>
      <x:c r="P75" s="10" t="s">
        <x:v>557</x:v>
      </x:c>
    </x:row>
    <x:row r="76" ht="64.5" customHeight="1">
      <x:c r="A76" s="10" t="s">
        <x:v>558</x:v>
      </x:c>
      <x:c r="B76" s="10" t="s">
        <x:v>141</x:v>
      </x:c>
      <x:c r="C76" s="10" t="s">
        <x:v>549</x:v>
      </x:c>
      <x:c r="D76" s="10" t="s">
        <x:v>559</x:v>
      </x:c>
      <x:c r="E76" s="10" t="s">
        <x:v>560</x:v>
      </x:c>
      <x:c r="F76" s="10" t="s">
        <x:v>552</x:v>
      </x:c>
      <x:c r="G76" s="10" t="s">
        <x:v>553</x:v>
      </x:c>
      <x:c r="H76" s="10" t="s">
        <x:v>24</x:v>
      </x:c>
      <x:c r="I76" s="10" t="s">
        <x:v>185</x:v>
      </x:c>
      <x:c r="J76" s="10" t="s">
        <x:v>54</x:v>
      </x:c>
      <x:c r="K76" s="10" t="s">
        <x:v>554</x:v>
      </x:c>
      <x:c r="L76" s="10" t="s">
        <x:v>55</x:v>
      </x:c>
      <x:c r="M76" s="7"/>
      <x:c r="N76" s="10" t="s">
        <x:v>555</x:v>
      </x:c>
      <x:c r="O76" s="10" t="s">
        <x:v>561</x:v>
      </x:c>
      <x:c r="P76" s="10" t="s">
        <x:v>562</x:v>
      </x:c>
    </x:row>
    <x:row r="77" ht="64.5" customHeight="1">
      <x:c r="A77" s="10" t="s">
        <x:v>563</x:v>
      </x:c>
      <x:c r="B77" s="10" t="s">
        <x:v>141</x:v>
      </x:c>
      <x:c r="C77" s="10" t="s">
        <x:v>549</x:v>
      </x:c>
      <x:c r="D77" s="10" t="s">
        <x:v>564</x:v>
      </x:c>
      <x:c r="E77" s="10" t="s">
        <x:v>565</x:v>
      </x:c>
      <x:c r="F77" s="10" t="s">
        <x:v>552</x:v>
      </x:c>
      <x:c r="G77" s="10" t="s">
        <x:v>553</x:v>
      </x:c>
      <x:c r="H77" s="10" t="s">
        <x:v>24</x:v>
      </x:c>
      <x:c r="I77" s="10" t="s">
        <x:v>185</x:v>
      </x:c>
      <x:c r="J77" s="10" t="s">
        <x:v>54</x:v>
      </x:c>
      <x:c r="K77" s="10" t="s">
        <x:v>554</x:v>
      </x:c>
      <x:c r="L77" s="10" t="s">
        <x:v>55</x:v>
      </x:c>
      <x:c r="M77" s="7"/>
      <x:c r="N77" s="10" t="s">
        <x:v>555</x:v>
      </x:c>
      <x:c r="O77" s="10" t="s">
        <x:v>566</x:v>
      </x:c>
      <x:c r="P77" s="10" t="s">
        <x:v>567</x:v>
      </x:c>
    </x:row>
    <x:row r="78" ht="64.5" customHeight="1">
      <x:c r="A78" s="10" t="s">
        <x:v>568</x:v>
      </x:c>
      <x:c r="B78" s="10" t="s">
        <x:v>141</x:v>
      </x:c>
      <x:c r="C78" s="10" t="s">
        <x:v>549</x:v>
      </x:c>
      <x:c r="D78" s="10" t="s">
        <x:v>569</x:v>
      </x:c>
      <x:c r="E78" s="10" t="s">
        <x:v>570</x:v>
      </x:c>
      <x:c r="F78" s="10" t="s">
        <x:v>552</x:v>
      </x:c>
      <x:c r="G78" s="10" t="s">
        <x:v>553</x:v>
      </x:c>
      <x:c r="H78" s="10" t="s">
        <x:v>24</x:v>
      </x:c>
      <x:c r="I78" s="10" t="s">
        <x:v>185</x:v>
      </x:c>
      <x:c r="J78" s="10" t="s">
        <x:v>54</x:v>
      </x:c>
      <x:c r="K78" s="10" t="s">
        <x:v>554</x:v>
      </x:c>
      <x:c r="L78" s="10" t="s">
        <x:v>55</x:v>
      </x:c>
      <x:c r="M78" s="7"/>
      <x:c r="N78" s="10" t="s">
        <x:v>555</x:v>
      </x:c>
      <x:c r="O78" s="10" t="s">
        <x:v>571</x:v>
      </x:c>
      <x:c r="P78" s="10" t="s">
        <x:v>572</x:v>
      </x:c>
    </x:row>
    <x:row r="79" ht="64.5" customHeight="1">
      <x:c r="A79" s="10" t="s">
        <x:v>573</x:v>
      </x:c>
      <x:c r="B79" s="10" t="s">
        <x:v>141</x:v>
      </x:c>
      <x:c r="C79" s="10" t="s">
        <x:v>549</x:v>
      </x:c>
      <x:c r="D79" s="10" t="s">
        <x:v>574</x:v>
      </x:c>
      <x:c r="E79" s="10" t="s">
        <x:v>575</x:v>
      </x:c>
      <x:c r="F79" s="10" t="s">
        <x:v>552</x:v>
      </x:c>
      <x:c r="G79" s="10" t="s">
        <x:v>553</x:v>
      </x:c>
      <x:c r="H79" s="10" t="s">
        <x:v>72</x:v>
      </x:c>
      <x:c r="I79" s="10" t="s">
        <x:v>185</x:v>
      </x:c>
      <x:c r="J79" s="10" t="s">
        <x:v>54</x:v>
      </x:c>
      <x:c r="K79" s="10" t="s">
        <x:v>554</x:v>
      </x:c>
      <x:c r="L79" s="10" t="s">
        <x:v>55</x:v>
      </x:c>
      <x:c r="M79" s="7"/>
      <x:c r="N79" s="10" t="s">
        <x:v>555</x:v>
      </x:c>
      <x:c r="O79" s="10" t="s">
        <x:v>576</x:v>
      </x:c>
      <x:c r="P79" s="10" t="s">
        <x:v>577</x:v>
      </x:c>
    </x:row>
    <x:row r="80" ht="64.5" customHeight="1">
      <x:c r="A80" s="10" t="s">
        <x:v>578</x:v>
      </x:c>
      <x:c r="B80" s="10" t="s">
        <x:v>141</x:v>
      </x:c>
      <x:c r="C80" s="10" t="s">
        <x:v>549</x:v>
      </x:c>
      <x:c r="D80" s="10" t="s">
        <x:v>579</x:v>
      </x:c>
      <x:c r="E80" s="10" t="s">
        <x:v>580</x:v>
      </x:c>
      <x:c r="F80" s="10" t="s">
        <x:v>552</x:v>
      </x:c>
      <x:c r="G80" s="10" t="s">
        <x:v>553</x:v>
      </x:c>
      <x:c r="H80" s="10" t="s">
        <x:v>24</x:v>
      </x:c>
      <x:c r="I80" s="10" t="s">
        <x:v>185</x:v>
      </x:c>
      <x:c r="J80" s="10" t="s">
        <x:v>54</x:v>
      </x:c>
      <x:c r="K80" s="10" t="s">
        <x:v>554</x:v>
      </x:c>
      <x:c r="L80" s="10" t="s">
        <x:v>55</x:v>
      </x:c>
      <x:c r="M80" s="7"/>
      <x:c r="N80" s="10" t="s">
        <x:v>555</x:v>
      </x:c>
      <x:c r="O80" s="10" t="s">
        <x:v>581</x:v>
      </x:c>
      <x:c r="P80" s="10" t="s">
        <x:v>582</x:v>
      </x:c>
    </x:row>
    <x:row r="81" ht="64.5" customHeight="1">
      <x:c r="A81" s="10" t="s">
        <x:v>583</x:v>
      </x:c>
      <x:c r="B81" s="10" t="s">
        <x:v>141</x:v>
      </x:c>
      <x:c r="C81" s="10" t="s">
        <x:v>549</x:v>
      </x:c>
      <x:c r="D81" s="10" t="s">
        <x:v>584</x:v>
      </x:c>
      <x:c r="E81" s="10" t="s">
        <x:v>585</x:v>
      </x:c>
      <x:c r="F81" s="10" t="s">
        <x:v>552</x:v>
      </x:c>
      <x:c r="G81" s="10" t="s">
        <x:v>553</x:v>
      </x:c>
      <x:c r="H81" s="10" t="s">
        <x:v>72</x:v>
      </x:c>
      <x:c r="I81" s="10" t="s">
        <x:v>185</x:v>
      </x:c>
      <x:c r="J81" s="10" t="s">
        <x:v>54</x:v>
      </x:c>
      <x:c r="K81" s="10" t="s">
        <x:v>554</x:v>
      </x:c>
      <x:c r="L81" s="10" t="s">
        <x:v>55</x:v>
      </x:c>
      <x:c r="M81" s="7"/>
      <x:c r="N81" s="10" t="s">
        <x:v>555</x:v>
      </x:c>
      <x:c r="O81" s="10" t="s">
        <x:v>586</x:v>
      </x:c>
      <x:c r="P81" s="10" t="s">
        <x:v>587</x:v>
      </x:c>
    </x:row>
    <x:row r="82" ht="64.5" customHeight="1">
      <x:c r="A82" s="10" t="s">
        <x:v>588</x:v>
      </x:c>
      <x:c r="B82" s="10" t="s">
        <x:v>141</x:v>
      </x:c>
      <x:c r="C82" s="10" t="s">
        <x:v>549</x:v>
      </x:c>
      <x:c r="D82" s="10" t="s">
        <x:v>589</x:v>
      </x:c>
      <x:c r="E82" s="10" t="s">
        <x:v>590</x:v>
      </x:c>
      <x:c r="F82" s="10" t="s">
        <x:v>552</x:v>
      </x:c>
      <x:c r="G82" s="10" t="s">
        <x:v>553</x:v>
      </x:c>
      <x:c r="H82" s="10" t="s">
        <x:v>72</x:v>
      </x:c>
      <x:c r="I82" s="10" t="s">
        <x:v>185</x:v>
      </x:c>
      <x:c r="J82" s="10" t="s">
        <x:v>54</x:v>
      </x:c>
      <x:c r="K82" s="10" t="s">
        <x:v>554</x:v>
      </x:c>
      <x:c r="L82" s="10" t="s">
        <x:v>55</x:v>
      </x:c>
      <x:c r="M82" s="7"/>
      <x:c r="N82" s="10" t="s">
        <x:v>555</x:v>
      </x:c>
      <x:c r="O82" s="10" t="s">
        <x:v>591</x:v>
      </x:c>
      <x:c r="P82" s="10" t="s">
        <x:v>592</x:v>
      </x:c>
    </x:row>
    <x:row r="83" ht="64.5" customHeight="1">
      <x:c r="A83" s="10" t="s">
        <x:v>593</x:v>
      </x:c>
      <x:c r="B83" s="10" t="s">
        <x:v>141</x:v>
      </x:c>
      <x:c r="C83" s="10" t="s">
        <x:v>549</x:v>
      </x:c>
      <x:c r="D83" s="10" t="s">
        <x:v>594</x:v>
      </x:c>
      <x:c r="E83" s="10" t="s">
        <x:v>595</x:v>
      </x:c>
      <x:c r="F83" s="10" t="s">
        <x:v>552</x:v>
      </x:c>
      <x:c r="G83" s="10" t="s">
        <x:v>553</x:v>
      </x:c>
      <x:c r="H83" s="10" t="s">
        <x:v>72</x:v>
      </x:c>
      <x:c r="I83" s="10" t="s">
        <x:v>185</x:v>
      </x:c>
      <x:c r="J83" s="10" t="s">
        <x:v>54</x:v>
      </x:c>
      <x:c r="K83" s="10" t="s">
        <x:v>554</x:v>
      </x:c>
      <x:c r="L83" s="10" t="s">
        <x:v>55</x:v>
      </x:c>
      <x:c r="M83" s="7"/>
      <x:c r="N83" s="10" t="s">
        <x:v>555</x:v>
      </x:c>
      <x:c r="O83" s="10" t="s">
        <x:v>596</x:v>
      </x:c>
      <x:c r="P83" s="10" t="s">
        <x:v>597</x:v>
      </x:c>
    </x:row>
    <x:row r="84" ht="64.5" customHeight="1">
      <x:c r="A84" s="10" t="s">
        <x:v>598</x:v>
      </x:c>
      <x:c r="B84" s="10" t="s">
        <x:v>141</x:v>
      </x:c>
      <x:c r="C84" s="10" t="s">
        <x:v>549</x:v>
      </x:c>
      <x:c r="D84" s="10" t="s">
        <x:v>599</x:v>
      </x:c>
      <x:c r="E84" s="10" t="s">
        <x:v>600</x:v>
      </x:c>
      <x:c r="F84" s="10" t="s">
        <x:v>552</x:v>
      </x:c>
      <x:c r="G84" s="10" t="s">
        <x:v>553</x:v>
      </x:c>
      <x:c r="H84" s="10" t="s">
        <x:v>72</x:v>
      </x:c>
      <x:c r="I84" s="10" t="s">
        <x:v>185</x:v>
      </x:c>
      <x:c r="J84" s="10" t="s">
        <x:v>54</x:v>
      </x:c>
      <x:c r="K84" s="10" t="s">
        <x:v>554</x:v>
      </x:c>
      <x:c r="L84" s="10" t="s">
        <x:v>55</x:v>
      </x:c>
      <x:c r="M84" s="7"/>
      <x:c r="N84" s="10" t="s">
        <x:v>555</x:v>
      </x:c>
      <x:c r="O84" s="10" t="s">
        <x:v>601</x:v>
      </x:c>
      <x:c r="P84" s="10" t="s">
        <x:v>602</x:v>
      </x:c>
    </x:row>
    <x:row r="85" ht="64.5" customHeight="1">
      <x:c r="A85" s="10" t="s">
        <x:v>603</x:v>
      </x:c>
      <x:c r="B85" s="10" t="s">
        <x:v>141</x:v>
      </x:c>
      <x:c r="C85" s="10" t="s">
        <x:v>549</x:v>
      </x:c>
      <x:c r="D85" s="10" t="s">
        <x:v>604</x:v>
      </x:c>
      <x:c r="E85" s="10" t="s">
        <x:v>605</x:v>
      </x:c>
      <x:c r="F85" s="10" t="s">
        <x:v>552</x:v>
      </x:c>
      <x:c r="G85" s="10" t="s">
        <x:v>553</x:v>
      </x:c>
      <x:c r="H85" s="10" t="s">
        <x:v>72</x:v>
      </x:c>
      <x:c r="I85" s="10" t="s">
        <x:v>185</x:v>
      </x:c>
      <x:c r="J85" s="10" t="s">
        <x:v>54</x:v>
      </x:c>
      <x:c r="K85" s="10" t="s">
        <x:v>554</x:v>
      </x:c>
      <x:c r="L85" s="10" t="s">
        <x:v>55</x:v>
      </x:c>
      <x:c r="M85" s="7"/>
      <x:c r="N85" s="10" t="s">
        <x:v>555</x:v>
      </x:c>
      <x:c r="O85" s="10" t="s">
        <x:v>606</x:v>
      </x:c>
      <x:c r="P85" s="10" t="s">
        <x:v>607</x:v>
      </x:c>
    </x:row>
    <x:row r="86" ht="64.5" customHeight="1">
      <x:c r="A86" s="10" t="s">
        <x:v>608</x:v>
      </x:c>
      <x:c r="B86" s="10" t="s">
        <x:v>141</x:v>
      </x:c>
      <x:c r="C86" s="10" t="s">
        <x:v>549</x:v>
      </x:c>
      <x:c r="D86" s="10" t="s">
        <x:v>609</x:v>
      </x:c>
      <x:c r="E86" s="10" t="s">
        <x:v>610</x:v>
      </x:c>
      <x:c r="F86" s="10" t="s">
        <x:v>552</x:v>
      </x:c>
      <x:c r="G86" s="10" t="s">
        <x:v>553</x:v>
      </x:c>
      <x:c r="H86" s="10" t="s">
        <x:v>72</x:v>
      </x:c>
      <x:c r="I86" s="10" t="s">
        <x:v>185</x:v>
      </x:c>
      <x:c r="J86" s="10" t="s">
        <x:v>54</x:v>
      </x:c>
      <x:c r="K86" s="10" t="s">
        <x:v>554</x:v>
      </x:c>
      <x:c r="L86" s="10" t="s">
        <x:v>55</x:v>
      </x:c>
      <x:c r="M86" s="7"/>
      <x:c r="N86" s="10" t="s">
        <x:v>555</x:v>
      </x:c>
      <x:c r="O86" s="10" t="s">
        <x:v>611</x:v>
      </x:c>
      <x:c r="P86" s="10" t="s">
        <x:v>612</x:v>
      </x:c>
    </x:row>
    <x:row r="87" ht="64.5" customHeight="1">
      <x:c r="A87" s="10" t="s">
        <x:v>613</x:v>
      </x:c>
      <x:c r="B87" s="10" t="s">
        <x:v>141</x:v>
      </x:c>
      <x:c r="C87" s="10" t="s">
        <x:v>614</x:v>
      </x:c>
      <x:c r="D87" s="10" t="s">
        <x:v>615</x:v>
      </x:c>
      <x:c r="E87" s="10" t="s">
        <x:v>616</x:v>
      </x:c>
      <x:c r="F87" s="10" t="s">
        <x:v>617</x:v>
      </x:c>
      <x:c r="G87" s="10" t="s">
        <x:v>618</x:v>
      </x:c>
      <x:c r="H87" s="10" t="s">
        <x:v>24</x:v>
      </x:c>
      <x:c r="I87" s="10" t="s">
        <x:v>185</x:v>
      </x:c>
      <x:c r="J87" s="10" t="s">
        <x:v>54</x:v>
      </x:c>
      <x:c r="K87" s="10" t="s">
        <x:v>280</x:v>
      </x:c>
      <x:c r="L87" s="10" t="s">
        <x:v>55</x:v>
      </x:c>
      <x:c r="M87" s="7"/>
      <x:c r="N87" s="10" t="s">
        <x:v>619</x:v>
      </x:c>
      <x:c r="O87" s="10" t="s">
        <x:v>620</x:v>
      </x:c>
      <x:c r="P87" s="10" t="s">
        <x:v>621</x:v>
      </x:c>
    </x:row>
    <x:row r="88" ht="64.5" customHeight="1">
      <x:c r="A88" s="10" t="s">
        <x:v>622</x:v>
      </x:c>
      <x:c r="B88" s="10" t="s">
        <x:v>141</x:v>
      </x:c>
      <x:c r="C88" s="10" t="s">
        <x:v>614</x:v>
      </x:c>
      <x:c r="D88" s="10" t="s">
        <x:v>623</x:v>
      </x:c>
      <x:c r="E88" s="10" t="s">
        <x:v>616</x:v>
      </x:c>
      <x:c r="F88" s="10" t="s">
        <x:v>624</x:v>
      </x:c>
      <x:c r="G88" s="10" t="s">
        <x:v>618</x:v>
      </x:c>
      <x:c r="H88" s="10" t="s">
        <x:v>24</x:v>
      </x:c>
      <x:c r="I88" s="10" t="s">
        <x:v>185</x:v>
      </x:c>
      <x:c r="J88" s="10" t="s">
        <x:v>54</x:v>
      </x:c>
      <x:c r="K88" s="10" t="s">
        <x:v>280</x:v>
      </x:c>
      <x:c r="L88" s="10" t="s">
        <x:v>55</x:v>
      </x:c>
      <x:c r="M88" s="7"/>
      <x:c r="N88" s="10" t="s">
        <x:v>619</x:v>
      </x:c>
      <x:c r="O88" s="10" t="s">
        <x:v>625</x:v>
      </x:c>
      <x:c r="P88" s="10" t="s">
        <x:v>626</x:v>
      </x:c>
    </x:row>
    <x:row r="89" ht="64.5" customHeight="1">
      <x:c r="A89" s="10" t="s">
        <x:v>627</x:v>
      </x:c>
      <x:c r="B89" s="10" t="s">
        <x:v>141</x:v>
      </x:c>
      <x:c r="C89" s="10" t="s">
        <x:v>614</x:v>
      </x:c>
      <x:c r="D89" s="10" t="s">
        <x:v>628</x:v>
      </x:c>
      <x:c r="E89" s="10" t="s">
        <x:v>616</x:v>
      </x:c>
      <x:c r="F89" s="10" t="s">
        <x:v>629</x:v>
      </x:c>
      <x:c r="G89" s="10" t="s">
        <x:v>618</x:v>
      </x:c>
      <x:c r="H89" s="10" t="s">
        <x:v>24</x:v>
      </x:c>
      <x:c r="I89" s="10" t="s">
        <x:v>185</x:v>
      </x:c>
      <x:c r="J89" s="10" t="s">
        <x:v>54</x:v>
      </x:c>
      <x:c r="K89" s="10" t="s">
        <x:v>280</x:v>
      </x:c>
      <x:c r="L89" s="10" t="s">
        <x:v>55</x:v>
      </x:c>
      <x:c r="M89" s="7"/>
      <x:c r="N89" s="10" t="s">
        <x:v>619</x:v>
      </x:c>
      <x:c r="O89" s="10" t="s">
        <x:v>630</x:v>
      </x:c>
      <x:c r="P89" s="10" t="s">
        <x:v>631</x:v>
      </x:c>
    </x:row>
    <x:row r="90" ht="64.5" customHeight="1">
      <x:c r="A90" s="10" t="s">
        <x:v>632</x:v>
      </x:c>
      <x:c r="B90" s="10" t="s">
        <x:v>141</x:v>
      </x:c>
      <x:c r="C90" s="10" t="s">
        <x:v>614</x:v>
      </x:c>
      <x:c r="D90" s="10" t="s">
        <x:v>633</x:v>
      </x:c>
      <x:c r="E90" s="10" t="s">
        <x:v>616</x:v>
      </x:c>
      <x:c r="F90" s="10" t="s">
        <x:v>634</x:v>
      </x:c>
      <x:c r="G90" s="10" t="s">
        <x:v>618</x:v>
      </x:c>
      <x:c r="H90" s="10" t="s">
        <x:v>24</x:v>
      </x:c>
      <x:c r="I90" s="10" t="s">
        <x:v>185</x:v>
      </x:c>
      <x:c r="J90" s="10" t="s">
        <x:v>54</x:v>
      </x:c>
      <x:c r="K90" s="10" t="s">
        <x:v>280</x:v>
      </x:c>
      <x:c r="L90" s="10" t="s">
        <x:v>55</x:v>
      </x:c>
      <x:c r="M90" s="7"/>
      <x:c r="N90" s="10" t="s">
        <x:v>619</x:v>
      </x:c>
      <x:c r="O90" s="10" t="s">
        <x:v>635</x:v>
      </x:c>
      <x:c r="P90" s="10" t="s">
        <x:v>636</x:v>
      </x:c>
    </x:row>
    <x:row r="91" ht="64.5" customHeight="1">
      <x:c r="A91" s="10" t="s">
        <x:v>637</x:v>
      </x:c>
      <x:c r="B91" s="10" t="s">
        <x:v>141</x:v>
      </x:c>
      <x:c r="C91" s="10" t="s">
        <x:v>614</x:v>
      </x:c>
      <x:c r="D91" s="10" t="s">
        <x:v>638</x:v>
      </x:c>
      <x:c r="E91" s="10" t="s">
        <x:v>616</x:v>
      </x:c>
      <x:c r="F91" s="10" t="s">
        <x:v>639</x:v>
      </x:c>
      <x:c r="G91" s="10" t="s">
        <x:v>618</x:v>
      </x:c>
      <x:c r="H91" s="10" t="s">
        <x:v>24</x:v>
      </x:c>
      <x:c r="I91" s="10" t="s">
        <x:v>185</x:v>
      </x:c>
      <x:c r="J91" s="10" t="s">
        <x:v>54</x:v>
      </x:c>
      <x:c r="K91" s="10" t="s">
        <x:v>280</x:v>
      </x:c>
      <x:c r="L91" s="10" t="s">
        <x:v>55</x:v>
      </x:c>
      <x:c r="M91" s="7"/>
      <x:c r="N91" s="10" t="s">
        <x:v>619</x:v>
      </x:c>
      <x:c r="O91" s="10" t="s">
        <x:v>640</x:v>
      </x:c>
      <x:c r="P91" s="10" t="s">
        <x:v>641</x:v>
      </x:c>
    </x:row>
    <x:row r="92" ht="64.5" customHeight="1">
      <x:c r="A92" s="10" t="s">
        <x:v>642</x:v>
      </x:c>
      <x:c r="B92" s="10" t="s">
        <x:v>141</x:v>
      </x:c>
      <x:c r="C92" s="10" t="s">
        <x:v>614</x:v>
      </x:c>
      <x:c r="D92" s="10" t="s">
        <x:v>643</x:v>
      </x:c>
      <x:c r="E92" s="10" t="s">
        <x:v>616</x:v>
      </x:c>
      <x:c r="F92" s="10" t="s">
        <x:v>644</x:v>
      </x:c>
      <x:c r="G92" s="10" t="s">
        <x:v>618</x:v>
      </x:c>
      <x:c r="H92" s="10" t="s">
        <x:v>72</x:v>
      </x:c>
      <x:c r="I92" s="10" t="s">
        <x:v>185</x:v>
      </x:c>
      <x:c r="J92" s="10" t="s">
        <x:v>54</x:v>
      </x:c>
      <x:c r="K92" s="10" t="s">
        <x:v>280</x:v>
      </x:c>
      <x:c r="L92" s="10" t="s">
        <x:v>55</x:v>
      </x:c>
      <x:c r="M92" s="7"/>
      <x:c r="N92" s="10" t="s">
        <x:v>619</x:v>
      </x:c>
      <x:c r="O92" s="10" t="s">
        <x:v>645</x:v>
      </x:c>
      <x:c r="P92" s="10" t="s">
        <x:v>646</x:v>
      </x:c>
    </x:row>
    <x:row r="93" ht="64.5" customHeight="1">
      <x:c r="A93" s="10" t="s">
        <x:v>647</x:v>
      </x:c>
      <x:c r="B93" s="10" t="s">
        <x:v>141</x:v>
      </x:c>
      <x:c r="C93" s="10" t="s">
        <x:v>614</x:v>
      </x:c>
      <x:c r="D93" s="10" t="s">
        <x:v>648</x:v>
      </x:c>
      <x:c r="E93" s="10" t="s">
        <x:v>616</x:v>
      </x:c>
      <x:c r="F93" s="10" t="s">
        <x:v>649</x:v>
      </x:c>
      <x:c r="G93" s="10" t="s">
        <x:v>618</x:v>
      </x:c>
      <x:c r="H93" s="10" t="s">
        <x:v>72</x:v>
      </x:c>
      <x:c r="I93" s="10" t="s">
        <x:v>185</x:v>
      </x:c>
      <x:c r="J93" s="10" t="s">
        <x:v>54</x:v>
      </x:c>
      <x:c r="K93" s="10" t="s">
        <x:v>280</x:v>
      </x:c>
      <x:c r="L93" s="10" t="s">
        <x:v>55</x:v>
      </x:c>
      <x:c r="M93" s="7"/>
      <x:c r="N93" s="10" t="s">
        <x:v>619</x:v>
      </x:c>
      <x:c r="O93" s="10" t="s">
        <x:v>650</x:v>
      </x:c>
      <x:c r="P93" s="10" t="s">
        <x:v>651</x:v>
      </x:c>
    </x:row>
    <x:row r="94" ht="64.5" customHeight="1">
      <x:c r="A94" s="10" t="s">
        <x:v>652</x:v>
      </x:c>
      <x:c r="B94" s="10" t="s">
        <x:v>141</x:v>
      </x:c>
      <x:c r="C94" s="10" t="s">
        <x:v>614</x:v>
      </x:c>
      <x:c r="D94" s="10" t="s">
        <x:v>653</x:v>
      </x:c>
      <x:c r="E94" s="10" t="s">
        <x:v>616</x:v>
      </x:c>
      <x:c r="F94" s="10" t="s">
        <x:v>654</x:v>
      </x:c>
      <x:c r="G94" s="10" t="s">
        <x:v>618</x:v>
      </x:c>
      <x:c r="H94" s="10" t="s">
        <x:v>72</x:v>
      </x:c>
      <x:c r="I94" s="10" t="s">
        <x:v>185</x:v>
      </x:c>
      <x:c r="J94" s="10" t="s">
        <x:v>54</x:v>
      </x:c>
      <x:c r="K94" s="10" t="s">
        <x:v>280</x:v>
      </x:c>
      <x:c r="L94" s="10" t="s">
        <x:v>55</x:v>
      </x:c>
      <x:c r="M94" s="7"/>
      <x:c r="N94" s="10" t="s">
        <x:v>619</x:v>
      </x:c>
      <x:c r="O94" s="10" t="s">
        <x:v>655</x:v>
      </x:c>
      <x:c r="P94" s="10" t="s">
        <x:v>656</x:v>
      </x:c>
    </x:row>
    <x:row r="95" ht="64.5" customHeight="1">
      <x:c r="A95" s="10" t="s">
        <x:v>657</x:v>
      </x:c>
      <x:c r="B95" s="10" t="s">
        <x:v>141</x:v>
      </x:c>
      <x:c r="C95" s="10" t="s">
        <x:v>658</x:v>
      </x:c>
      <x:c r="D95" s="10" t="s">
        <x:v>659</x:v>
      </x:c>
      <x:c r="E95" s="10" t="s">
        <x:v>660</x:v>
      </x:c>
      <x:c r="F95" s="10" t="s">
        <x:v>661</x:v>
      </x:c>
      <x:c r="G95" s="10" t="s">
        <x:v>662</x:v>
      </x:c>
      <x:c r="H95" s="10" t="s">
        <x:v>72</x:v>
      </x:c>
      <x:c r="I95" s="10" t="s">
        <x:v>311</x:v>
      </x:c>
      <x:c r="J95" s="10" t="s">
        <x:v>54</x:v>
      </x:c>
      <x:c r="K95" s="10" t="s">
        <x:v>298</x:v>
      </x:c>
      <x:c r="L95" s="10" t="s">
        <x:v>55</x:v>
      </x:c>
      <x:c r="M95" s="7"/>
      <x:c r="N95" s="10" t="s">
        <x:v>663</x:v>
      </x:c>
      <x:c r="O95" s="10" t="s">
        <x:v>664</x:v>
      </x:c>
      <x:c r="P95" s="10" t="s">
        <x:v>665</x:v>
      </x:c>
    </x:row>
    <x:row r="96" ht="64.5" customHeight="1">
      <x:c r="A96" s="10" t="s">
        <x:v>666</x:v>
      </x:c>
      <x:c r="B96" s="10" t="s">
        <x:v>141</x:v>
      </x:c>
      <x:c r="C96" s="10" t="s">
        <x:v>658</x:v>
      </x:c>
      <x:c r="D96" s="10" t="s">
        <x:v>667</x:v>
      </x:c>
      <x:c r="E96" s="10" t="s">
        <x:v>668</x:v>
      </x:c>
      <x:c r="F96" s="10" t="s">
        <x:v>661</x:v>
      </x:c>
      <x:c r="G96" s="10" t="s">
        <x:v>662</x:v>
      </x:c>
      <x:c r="H96" s="10" t="s">
        <x:v>72</x:v>
      </x:c>
      <x:c r="I96" s="10" t="s">
        <x:v>311</x:v>
      </x:c>
      <x:c r="J96" s="10" t="s">
        <x:v>54</x:v>
      </x:c>
      <x:c r="K96" s="10" t="s">
        <x:v>298</x:v>
      </x:c>
      <x:c r="L96" s="10" t="s">
        <x:v>55</x:v>
      </x:c>
      <x:c r="M96" s="7"/>
      <x:c r="N96" s="10" t="s">
        <x:v>663</x:v>
      </x:c>
      <x:c r="O96" s="10" t="s">
        <x:v>669</x:v>
      </x:c>
      <x:c r="P96" s="10" t="s">
        <x:v>665</x:v>
      </x:c>
    </x:row>
    <x:row r="97" ht="64.5" customHeight="1">
      <x:c r="A97" s="10" t="s">
        <x:v>670</x:v>
      </x:c>
      <x:c r="B97" s="10" t="s">
        <x:v>141</x:v>
      </x:c>
      <x:c r="C97" s="10" t="s">
        <x:v>658</x:v>
      </x:c>
      <x:c r="D97" s="10" t="s">
        <x:v>671</x:v>
      </x:c>
      <x:c r="E97" s="10" t="s">
        <x:v>672</x:v>
      </x:c>
      <x:c r="F97" s="10" t="s">
        <x:v>661</x:v>
      </x:c>
      <x:c r="G97" s="10" t="s">
        <x:v>662</x:v>
      </x:c>
      <x:c r="H97" s="10" t="s">
        <x:v>72</x:v>
      </x:c>
      <x:c r="I97" s="10" t="s">
        <x:v>311</x:v>
      </x:c>
      <x:c r="J97" s="10" t="s">
        <x:v>54</x:v>
      </x:c>
      <x:c r="K97" s="10" t="s">
        <x:v>298</x:v>
      </x:c>
      <x:c r="L97" s="10" t="s">
        <x:v>55</x:v>
      </x:c>
      <x:c r="M97" s="7"/>
      <x:c r="N97" s="10" t="s">
        <x:v>663</x:v>
      </x:c>
      <x:c r="O97" s="10" t="s">
        <x:v>673</x:v>
      </x:c>
      <x:c r="P97" s="10" t="s">
        <x:v>665</x:v>
      </x:c>
    </x:row>
    <x:row r="98" ht="64.5" customHeight="1">
      <x:c r="A98" s="10" t="s">
        <x:v>674</x:v>
      </x:c>
      <x:c r="B98" s="10" t="s">
        <x:v>141</x:v>
      </x:c>
      <x:c r="C98" s="10" t="s">
        <x:v>658</x:v>
      </x:c>
      <x:c r="D98" s="10" t="s">
        <x:v>675</x:v>
      </x:c>
      <x:c r="E98" s="10" t="s">
        <x:v>676</x:v>
      </x:c>
      <x:c r="F98" s="10" t="s">
        <x:v>661</x:v>
      </x:c>
      <x:c r="G98" s="10" t="s">
        <x:v>662</x:v>
      </x:c>
      <x:c r="H98" s="10" t="s">
        <x:v>72</x:v>
      </x:c>
      <x:c r="I98" s="10" t="s">
        <x:v>311</x:v>
      </x:c>
      <x:c r="J98" s="10" t="s">
        <x:v>54</x:v>
      </x:c>
      <x:c r="K98" s="10" t="s">
        <x:v>298</x:v>
      </x:c>
      <x:c r="L98" s="10" t="s">
        <x:v>55</x:v>
      </x:c>
      <x:c r="M98" s="7"/>
      <x:c r="N98" s="10" t="s">
        <x:v>663</x:v>
      </x:c>
      <x:c r="O98" s="10" t="s">
        <x:v>677</x:v>
      </x:c>
      <x:c r="P98" s="10" t="s">
        <x:v>665</x:v>
      </x:c>
    </x:row>
    <x:row r="99" ht="64.5" customHeight="1">
      <x:c r="A99" s="10" t="s">
        <x:v>678</x:v>
      </x:c>
      <x:c r="B99" s="10" t="s">
        <x:v>141</x:v>
      </x:c>
      <x:c r="C99" s="10" t="s">
        <x:v>658</x:v>
      </x:c>
      <x:c r="D99" s="10" t="s">
        <x:v>679</x:v>
      </x:c>
      <x:c r="E99" s="10" t="s">
        <x:v>680</x:v>
      </x:c>
      <x:c r="F99" s="10" t="s">
        <x:v>661</x:v>
      </x:c>
      <x:c r="G99" s="10" t="s">
        <x:v>662</x:v>
      </x:c>
      <x:c r="H99" s="10" t="s">
        <x:v>72</x:v>
      </x:c>
      <x:c r="I99" s="10" t="s">
        <x:v>311</x:v>
      </x:c>
      <x:c r="J99" s="10" t="s">
        <x:v>54</x:v>
      </x:c>
      <x:c r="K99" s="10" t="s">
        <x:v>298</x:v>
      </x:c>
      <x:c r="L99" s="10" t="s">
        <x:v>55</x:v>
      </x:c>
      <x:c r="M99" s="7"/>
      <x:c r="N99" s="10" t="s">
        <x:v>663</x:v>
      </x:c>
      <x:c r="O99" s="10" t="s">
        <x:v>681</x:v>
      </x:c>
      <x:c r="P99" s="10" t="s">
        <x:v>665</x:v>
      </x:c>
    </x:row>
    <x:row r="100" ht="64.5" customHeight="1">
      <x:c r="A100" s="10" t="s">
        <x:v>682</x:v>
      </x:c>
      <x:c r="B100" s="10" t="s">
        <x:v>141</x:v>
      </x:c>
      <x:c r="C100" s="10" t="s">
        <x:v>658</x:v>
      </x:c>
      <x:c r="D100" s="10" t="s">
        <x:v>683</x:v>
      </x:c>
      <x:c r="E100" s="10" t="s">
        <x:v>684</x:v>
      </x:c>
      <x:c r="F100" s="10" t="s">
        <x:v>661</x:v>
      </x:c>
      <x:c r="G100" s="10" t="s">
        <x:v>662</x:v>
      </x:c>
      <x:c r="H100" s="10" t="s">
        <x:v>72</x:v>
      </x:c>
      <x:c r="I100" s="10" t="s">
        <x:v>311</x:v>
      </x:c>
      <x:c r="J100" s="10" t="s">
        <x:v>54</x:v>
      </x:c>
      <x:c r="K100" s="10" t="s">
        <x:v>298</x:v>
      </x:c>
      <x:c r="L100" s="10" t="s">
        <x:v>55</x:v>
      </x:c>
      <x:c r="M100" s="7"/>
      <x:c r="N100" s="10" t="s">
        <x:v>663</x:v>
      </x:c>
      <x:c r="O100" s="10" t="s">
        <x:v>685</x:v>
      </x:c>
      <x:c r="P100" s="10" t="s">
        <x:v>665</x:v>
      </x:c>
    </x:row>
    <x:row r="101" ht="64.5" customHeight="1">
      <x:c r="A101" s="10" t="s">
        <x:v>686</x:v>
      </x:c>
      <x:c r="B101" s="10" t="s">
        <x:v>124</x:v>
      </x:c>
      <x:c r="C101" s="10" t="s">
        <x:v>687</x:v>
      </x:c>
      <x:c r="D101" s="10" t="s">
        <x:v>688</x:v>
      </x:c>
      <x:c r="E101" s="10" t="s">
        <x:v>689</x:v>
      </x:c>
      <x:c r="F101" s="10" t="s">
        <x:v>690</x:v>
      </x:c>
      <x:c r="G101" s="10" t="s">
        <x:v>691</x:v>
      </x:c>
      <x:c r="H101" s="10" t="s">
        <x:v>24</x:v>
      </x:c>
      <x:c r="I101" s="10" t="s">
        <x:v>311</x:v>
      </x:c>
      <x:c r="J101" s="10" t="s">
        <x:v>54</x:v>
      </x:c>
      <x:c r="K101" s="10" t="s">
        <x:v>692</x:v>
      </x:c>
      <x:c r="L101" s="10" t="s">
        <x:v>55</x:v>
      </x:c>
      <x:c r="M101" s="7"/>
      <x:c r="N101" s="10" t="s">
        <x:v>693</x:v>
      </x:c>
      <x:c r="O101" s="7"/>
      <x:c r="P101" s="10" t="s">
        <x:v>694</x:v>
      </x:c>
    </x:row>
    <x:row r="102" ht="64.5" customHeight="1">
      <x:c r="A102" s="10" t="s">
        <x:v>695</x:v>
      </x:c>
      <x:c r="B102" s="10" t="s">
        <x:v>124</x:v>
      </x:c>
      <x:c r="C102" s="10" t="s">
        <x:v>687</x:v>
      </x:c>
      <x:c r="D102" s="10" t="s">
        <x:v>696</x:v>
      </x:c>
      <x:c r="E102" s="10" t="s">
        <x:v>697</x:v>
      </x:c>
      <x:c r="F102" s="10" t="s">
        <x:v>698</x:v>
      </x:c>
      <x:c r="G102" s="10" t="s">
        <x:v>699</x:v>
      </x:c>
      <x:c r="H102" s="10" t="s">
        <x:v>24</x:v>
      </x:c>
      <x:c r="I102" s="10" t="s">
        <x:v>311</x:v>
      </x:c>
      <x:c r="J102" s="10" t="s">
        <x:v>43</x:v>
      </x:c>
      <x:c r="K102" s="10" t="s">
        <x:v>362</x:v>
      </x:c>
      <x:c r="L102" s="10" t="s">
        <x:v>27</x:v>
      </x:c>
      <x:c r="M102" s="9" t="s">
        <x:v>28</x:v>
      </x:c>
      <x:c r="N102" s="10" t="s">
        <x:v>700</x:v>
      </x:c>
      <x:c r="O102" s="7"/>
      <x:c r="P102" s="10" t="s">
        <x:v>701</x:v>
      </x:c>
    </x:row>
    <x:row r="103" ht="64.5" customHeight="1">
      <x:c r="A103" s="10" t="s">
        <x:v>702</x:v>
      </x:c>
      <x:c r="B103" s="10" t="s">
        <x:v>124</x:v>
      </x:c>
      <x:c r="C103" s="10" t="s">
        <x:v>687</x:v>
      </x:c>
      <x:c r="D103" s="10" t="s">
        <x:v>703</x:v>
      </x:c>
      <x:c r="E103" s="10" t="s">
        <x:v>704</x:v>
      </x:c>
      <x:c r="F103" s="10" t="s">
        <x:v>705</x:v>
      </x:c>
      <x:c r="G103" s="10" t="s">
        <x:v>706</x:v>
      </x:c>
      <x:c r="H103" s="10" t="s">
        <x:v>72</x:v>
      </x:c>
      <x:c r="I103" s="10" t="s">
        <x:v>311</x:v>
      </x:c>
      <x:c r="J103" s="10" t="s">
        <x:v>43</x:v>
      </x:c>
      <x:c r="K103" s="10" t="s">
        <x:v>173</x:v>
      </x:c>
      <x:c r="L103" s="10" t="s">
        <x:v>55</x:v>
      </x:c>
      <x:c r="M103" s="7"/>
      <x:c r="N103" s="10" t="s">
        <x:v>707</x:v>
      </x:c>
      <x:c r="O103" s="7"/>
      <x:c r="P103" s="10" t="s">
        <x:v>708</x:v>
      </x:c>
    </x:row>
    <x:row r="104" ht="64.5" customHeight="1">
      <x:c r="A104" s="10" t="s">
        <x:v>709</x:v>
      </x:c>
      <x:c r="B104" s="10" t="s">
        <x:v>124</x:v>
      </x:c>
      <x:c r="C104" s="10" t="s">
        <x:v>687</x:v>
      </x:c>
      <x:c r="D104" s="10" t="s">
        <x:v>710</x:v>
      </x:c>
      <x:c r="E104" s="10" t="s">
        <x:v>711</x:v>
      </x:c>
      <x:c r="F104" s="10" t="s">
        <x:v>712</x:v>
      </x:c>
      <x:c r="G104" s="10" t="s">
        <x:v>713</x:v>
      </x:c>
      <x:c r="H104" s="10" t="s">
        <x:v>72</x:v>
      </x:c>
      <x:c r="I104" s="10" t="s">
        <x:v>311</x:v>
      </x:c>
      <x:c r="J104" s="10" t="s">
        <x:v>43</x:v>
      </x:c>
      <x:c r="K104" s="10" t="s">
        <x:v>714</x:v>
      </x:c>
      <x:c r="L104" s="10" t="s">
        <x:v>55</x:v>
      </x:c>
      <x:c r="M104" s="7"/>
      <x:c r="N104" s="10" t="s">
        <x:v>715</x:v>
      </x:c>
      <x:c r="O104" s="7"/>
      <x:c r="P104" s="10" t="s">
        <x:v>716</x:v>
      </x:c>
    </x:row>
    <x:row r="105" ht="64.5" customHeight="1">
      <x:c r="A105" s="10" t="s">
        <x:v>717</x:v>
      </x:c>
      <x:c r="B105" s="10" t="s">
        <x:v>124</x:v>
      </x:c>
      <x:c r="C105" s="10" t="s">
        <x:v>687</x:v>
      </x:c>
      <x:c r="D105" s="10" t="s">
        <x:v>718</x:v>
      </x:c>
      <x:c r="E105" s="10" t="s">
        <x:v>719</x:v>
      </x:c>
      <x:c r="F105" s="10" t="s">
        <x:v>720</x:v>
      </x:c>
      <x:c r="G105" s="10" t="s">
        <x:v>721</x:v>
      </x:c>
      <x:c r="H105" s="10" t="s">
        <x:v>72</x:v>
      </x:c>
      <x:c r="I105" s="10" t="s">
        <x:v>330</x:v>
      </x:c>
      <x:c r="J105" s="10" t="s">
        <x:v>722</x:v>
      </x:c>
      <x:c r="K105" s="10" t="s">
        <x:v>723</x:v>
      </x:c>
      <x:c r="L105" s="10" t="s">
        <x:v>55</x:v>
      </x:c>
      <x:c r="M105" s="7"/>
      <x:c r="N105" s="10" t="s">
        <x:v>724</x:v>
      </x:c>
      <x:c r="O105" s="10" t="s">
        <x:v>725</x:v>
      </x:c>
      <x:c r="P105" s="10" t="s">
        <x:v>726</x:v>
      </x:c>
    </x:row>
    <x:row r="106" ht="64.5" customHeight="1">
      <x:c r="A106" s="10" t="s">
        <x:v>727</x:v>
      </x:c>
      <x:c r="B106" s="10" t="s">
        <x:v>124</x:v>
      </x:c>
      <x:c r="C106" s="10" t="s">
        <x:v>687</x:v>
      </x:c>
      <x:c r="D106" s="10" t="s">
        <x:v>728</x:v>
      </x:c>
      <x:c r="E106" s="10" t="s">
        <x:v>729</x:v>
      </x:c>
      <x:c r="F106" s="10" t="s">
        <x:v>730</x:v>
      </x:c>
      <x:c r="G106" s="10" t="s">
        <x:v>731</x:v>
      </x:c>
      <x:c r="H106" s="10" t="s">
        <x:v>329</x:v>
      </x:c>
      <x:c r="I106" s="10" t="s">
        <x:v>330</x:v>
      </x:c>
      <x:c r="J106" s="10" t="s">
        <x:v>722</x:v>
      </x:c>
      <x:c r="K106" s="10" t="s">
        <x:v>717</x:v>
      </x:c>
      <x:c r="L106" s="10" t="s">
        <x:v>55</x:v>
      </x:c>
      <x:c r="M106" s="7"/>
      <x:c r="N106" s="10" t="s">
        <x:v>732</x:v>
      </x:c>
      <x:c r="O106" s="7"/>
      <x:c r="P106" s="10" t="s">
        <x:v>733</x:v>
      </x:c>
    </x:row>
    <x:row r="107" ht="64.5" customHeight="1">
      <x:c r="A107" s="10" t="s">
        <x:v>734</x:v>
      </x:c>
      <x:c r="B107" s="10" t="s">
        <x:v>124</x:v>
      </x:c>
      <x:c r="C107" s="10" t="s">
        <x:v>687</x:v>
      </x:c>
      <x:c r="D107" s="10" t="s">
        <x:v>735</x:v>
      </x:c>
      <x:c r="E107" s="10" t="s">
        <x:v>736</x:v>
      </x:c>
      <x:c r="F107" s="10" t="s">
        <x:v>737</x:v>
      </x:c>
      <x:c r="G107" s="10" t="s">
        <x:v>738</x:v>
      </x:c>
      <x:c r="H107" s="10" t="s">
        <x:v>329</x:v>
      </x:c>
      <x:c r="I107" s="10" t="s">
        <x:v>330</x:v>
      </x:c>
      <x:c r="J107" s="10" t="s">
        <x:v>26</x:v>
      </x:c>
      <x:c r="K107" s="10" t="s">
        <x:v>739</x:v>
      </x:c>
      <x:c r="L107" s="10" t="s">
        <x:v>55</x:v>
      </x:c>
      <x:c r="M107" s="7"/>
      <x:c r="N107" s="10" t="s">
        <x:v>740</x:v>
      </x:c>
      <x:c r="O107" s="10" t="s">
        <x:v>741</x:v>
      </x:c>
      <x:c r="P107" s="10" t="s">
        <x:v>742</x:v>
      </x:c>
    </x:row>
    <x:row r="108" ht="64.5" customHeight="1">
      <x:c r="A108" s="10" t="s">
        <x:v>743</x:v>
      </x:c>
      <x:c r="B108" s="10" t="s">
        <x:v>141</x:v>
      </x:c>
      <x:c r="C108" s="10" t="s">
        <x:v>744</x:v>
      </x:c>
      <x:c r="D108" s="10" t="s">
        <x:v>745</x:v>
      </x:c>
      <x:c r="E108" s="10" t="s">
        <x:v>746</x:v>
      </x:c>
      <x:c r="F108" s="10" t="s">
        <x:v>747</x:v>
      </x:c>
      <x:c r="G108" s="10" t="s">
        <x:v>748</x:v>
      </x:c>
      <x:c r="H108" s="10" t="s">
        <x:v>24</x:v>
      </x:c>
      <x:c r="I108" s="10" t="s">
        <x:v>185</x:v>
      </x:c>
      <x:c r="J108" s="10" t="s">
        <x:v>43</x:v>
      </x:c>
      <x:c r="K108" s="10" t="s">
        <x:v>702</x:v>
      </x:c>
      <x:c r="L108" s="10" t="s">
        <x:v>55</x:v>
      </x:c>
      <x:c r="M108" s="7"/>
      <x:c r="N108" s="10" t="s">
        <x:v>749</x:v>
      </x:c>
      <x:c r="O108" s="7"/>
      <x:c r="P108" s="10" t="s">
        <x:v>750</x:v>
      </x:c>
    </x:row>
    <x:row r="109" ht="64.5" customHeight="1">
      <x:c r="A109" s="10" t="s">
        <x:v>751</x:v>
      </x:c>
      <x:c r="B109" s="10" t="s">
        <x:v>141</x:v>
      </x:c>
      <x:c r="C109" s="10" t="s">
        <x:v>744</x:v>
      </x:c>
      <x:c r="D109" s="10" t="s">
        <x:v>752</x:v>
      </x:c>
      <x:c r="E109" s="10" t="s">
        <x:v>753</x:v>
      </x:c>
      <x:c r="F109" s="10" t="s">
        <x:v>754</x:v>
      </x:c>
      <x:c r="G109" s="10" t="s">
        <x:v>755</x:v>
      </x:c>
      <x:c r="H109" s="10" t="s">
        <x:v>24</x:v>
      </x:c>
      <x:c r="I109" s="10" t="s">
        <x:v>185</x:v>
      </x:c>
      <x:c r="J109" s="10" t="s">
        <x:v>43</x:v>
      </x:c>
      <x:c r="K109" s="10" t="s">
        <x:v>253</x:v>
      </x:c>
      <x:c r="L109" s="10" t="s">
        <x:v>27</x:v>
      </x:c>
      <x:c r="M109" s="9" t="s">
        <x:v>28</x:v>
      </x:c>
      <x:c r="N109" s="10" t="s">
        <x:v>756</x:v>
      </x:c>
      <x:c r="O109" s="7"/>
      <x:c r="P109" s="10" t="s">
        <x:v>757</x:v>
      </x:c>
    </x:row>
    <x:row r="110" ht="64.5" customHeight="1">
      <x:c r="A110" s="10" t="s">
        <x:v>758</x:v>
      </x:c>
      <x:c r="B110" s="10" t="s">
        <x:v>141</x:v>
      </x:c>
      <x:c r="C110" s="10" t="s">
        <x:v>744</x:v>
      </x:c>
      <x:c r="D110" s="10" t="s">
        <x:v>759</x:v>
      </x:c>
      <x:c r="E110" s="10" t="s">
        <x:v>760</x:v>
      </x:c>
      <x:c r="F110" s="10" t="s">
        <x:v>761</x:v>
      </x:c>
      <x:c r="G110" s="10" t="s">
        <x:v>762</x:v>
      </x:c>
      <x:c r="H110" s="10" t="s">
        <x:v>24</x:v>
      </x:c>
      <x:c r="I110" s="10" t="s">
        <x:v>185</x:v>
      </x:c>
      <x:c r="J110" s="10" t="s">
        <x:v>43</x:v>
      </x:c>
      <x:c r="K110" s="10" t="s">
        <x:v>763</x:v>
      </x:c>
      <x:c r="L110" s="10" t="s">
        <x:v>55</x:v>
      </x:c>
      <x:c r="M110" s="7"/>
      <x:c r="N110" s="10" t="s">
        <x:v>764</x:v>
      </x:c>
      <x:c r="O110" s="7"/>
      <x:c r="P110" s="10" t="s">
        <x:v>765</x:v>
      </x:c>
    </x:row>
    <x:row r="111" ht="64.5" customHeight="1">
      <x:c r="A111" s="10" t="s">
        <x:v>766</x:v>
      </x:c>
      <x:c r="B111" s="10" t="s">
        <x:v>141</x:v>
      </x:c>
      <x:c r="C111" s="10" t="s">
        <x:v>744</x:v>
      </x:c>
      <x:c r="D111" s="10" t="s">
        <x:v>767</x:v>
      </x:c>
      <x:c r="E111" s="10" t="s">
        <x:v>768</x:v>
      </x:c>
      <x:c r="F111" s="10" t="s">
        <x:v>769</x:v>
      </x:c>
      <x:c r="G111" s="10" t="s">
        <x:v>770</x:v>
      </x:c>
      <x:c r="H111" s="10" t="s">
        <x:v>72</x:v>
      </x:c>
      <x:c r="I111" s="10" t="s">
        <x:v>311</x:v>
      </x:c>
      <x:c r="J111" s="10" t="s">
        <x:v>43</x:v>
      </x:c>
      <x:c r="K111" s="10" t="s">
        <x:v>771</x:v>
      </x:c>
      <x:c r="L111" s="10" t="s">
        <x:v>55</x:v>
      </x:c>
      <x:c r="M111" s="7"/>
      <x:c r="N111" s="10" t="s">
        <x:v>772</x:v>
      </x:c>
      <x:c r="O111" s="7"/>
      <x:c r="P111" s="10" t="s">
        <x:v>773</x:v>
      </x:c>
    </x:row>
    <x:row r="112" ht="64.5" customHeight="1">
      <x:c r="A112" s="10" t="s">
        <x:v>774</x:v>
      </x:c>
      <x:c r="B112" s="10" t="s">
        <x:v>775</x:v>
      </x:c>
      <x:c r="C112" s="10" t="s">
        <x:v>776</x:v>
      </x:c>
      <x:c r="D112" s="10" t="s">
        <x:v>777</x:v>
      </x:c>
      <x:c r="E112" s="10" t="s">
        <x:v>778</x:v>
      </x:c>
      <x:c r="F112" s="10" t="s">
        <x:v>779</x:v>
      </x:c>
      <x:c r="G112" s="10" t="s">
        <x:v>780</x:v>
      </x:c>
      <x:c r="H112" s="10" t="s">
        <x:v>24</x:v>
      </x:c>
      <x:c r="I112" s="10" t="s">
        <x:v>185</x:v>
      </x:c>
      <x:c r="J112" s="10" t="s">
        <x:v>43</x:v>
      </x:c>
      <x:c r="K112" s="10" t="s">
        <x:v>781</x:v>
      </x:c>
      <x:c r="L112" s="10" t="s">
        <x:v>55</x:v>
      </x:c>
      <x:c r="M112" s="7"/>
      <x:c r="N112" s="10" t="s">
        <x:v>782</x:v>
      </x:c>
      <x:c r="O112" s="7"/>
      <x:c r="P112" s="10" t="s">
        <x:v>783</x:v>
      </x:c>
    </x:row>
    <x:row r="113" ht="64.5" customHeight="1">
      <x:c r="A113" s="10" t="s">
        <x:v>784</x:v>
      </x:c>
      <x:c r="B113" s="10" t="s">
        <x:v>775</x:v>
      </x:c>
      <x:c r="C113" s="10" t="s">
        <x:v>776</x:v>
      </x:c>
      <x:c r="D113" s="10" t="s">
        <x:v>785</x:v>
      </x:c>
      <x:c r="E113" s="10" t="s">
        <x:v>786</x:v>
      </x:c>
      <x:c r="F113" s="10" t="s">
        <x:v>787</x:v>
      </x:c>
      <x:c r="G113" s="10" t="s">
        <x:v>788</x:v>
      </x:c>
      <x:c r="H113" s="10" t="s">
        <x:v>24</x:v>
      </x:c>
      <x:c r="I113" s="10" t="s">
        <x:v>185</x:v>
      </x:c>
      <x:c r="J113" s="10" t="s">
        <x:v>54</x:v>
      </x:c>
      <x:c r="K113" s="10" t="s">
        <x:v>107</x:v>
      </x:c>
      <x:c r="L113" s="10" t="s">
        <x:v>55</x:v>
      </x:c>
      <x:c r="M113" s="7"/>
      <x:c r="N113" s="10" t="s">
        <x:v>789</x:v>
      </x:c>
      <x:c r="O113" s="10" t="s">
        <x:v>790</x:v>
      </x:c>
      <x:c r="P113" s="10" t="s">
        <x:v>791</x:v>
      </x:c>
    </x:row>
    <x:row r="114" ht="64.5" customHeight="1">
      <x:c r="A114" s="10" t="s">
        <x:v>792</x:v>
      </x:c>
      <x:c r="B114" s="10" t="s">
        <x:v>775</x:v>
      </x:c>
      <x:c r="C114" s="10" t="s">
        <x:v>776</x:v>
      </x:c>
      <x:c r="D114" s="10" t="s">
        <x:v>793</x:v>
      </x:c>
      <x:c r="E114" s="10" t="s">
        <x:v>794</x:v>
      </x:c>
      <x:c r="F114" s="10" t="s">
        <x:v>795</x:v>
      </x:c>
      <x:c r="G114" s="10" t="s">
        <x:v>796</x:v>
      </x:c>
      <x:c r="H114" s="10" t="s">
        <x:v>72</x:v>
      </x:c>
      <x:c r="I114" s="10" t="s">
        <x:v>311</x:v>
      </x:c>
      <x:c r="J114" s="10" t="s">
        <x:v>43</x:v>
      </x:c>
      <x:c r="K114" s="10" t="s">
        <x:v>774</x:v>
      </x:c>
      <x:c r="L114" s="10" t="s">
        <x:v>55</x:v>
      </x:c>
      <x:c r="M114" s="7"/>
      <x:c r="N114" s="10" t="s">
        <x:v>797</x:v>
      </x:c>
      <x:c r="O114" s="7"/>
      <x:c r="P114" s="10" t="s">
        <x:v>798</x:v>
      </x:c>
    </x:row>
    <x:row r="115" ht="64.5" customHeight="1">
      <x:c r="A115" s="10" t="s">
        <x:v>799</x:v>
      </x:c>
      <x:c r="B115" s="10" t="s">
        <x:v>775</x:v>
      </x:c>
      <x:c r="C115" s="10" t="s">
        <x:v>800</x:v>
      </x:c>
      <x:c r="D115" s="10" t="s">
        <x:v>801</x:v>
      </x:c>
      <x:c r="E115" s="10" t="s">
        <x:v>802</x:v>
      </x:c>
      <x:c r="F115" s="10" t="s">
        <x:v>803</x:v>
      </x:c>
      <x:c r="G115" s="10" t="s">
        <x:v>804</x:v>
      </x:c>
      <x:c r="H115" s="10" t="s">
        <x:v>329</x:v>
      </x:c>
      <x:c r="I115" s="10" t="s">
        <x:v>330</x:v>
      </x:c>
      <x:c r="J115" s="10" t="s">
        <x:v>54</x:v>
      </x:c>
      <x:c r="K115" s="10" t="s">
        <x:v>805</x:v>
      </x:c>
      <x:c r="L115" s="10" t="s">
        <x:v>55</x:v>
      </x:c>
      <x:c r="M115" s="7"/>
      <x:c r="N115" s="10" t="s">
        <x:v>806</x:v>
      </x:c>
      <x:c r="O115" s="7"/>
      <x:c r="P115" s="10" t="s">
        <x:v>807</x:v>
      </x:c>
    </x:row>
    <x:row r="116" ht="64.5" customHeight="1">
      <x:c r="A116" s="10" t="s">
        <x:v>808</x:v>
      </x:c>
      <x:c r="B116" s="10" t="s">
        <x:v>809</x:v>
      </x:c>
      <x:c r="C116" s="10" t="s">
        <x:v>810</x:v>
      </x:c>
      <x:c r="D116" s="10" t="s">
        <x:v>811</x:v>
      </x:c>
      <x:c r="E116" s="10" t="s">
        <x:v>812</x:v>
      </x:c>
      <x:c r="F116" s="10" t="s">
        <x:v>813</x:v>
      </x:c>
      <x:c r="G116" s="10" t="s">
        <x:v>814</x:v>
      </x:c>
      <x:c r="H116" s="10" t="s">
        <x:v>24</x:v>
      </x:c>
      <x:c r="I116" s="10" t="s">
        <x:v>330</x:v>
      </x:c>
      <x:c r="J116" s="10" t="s">
        <x:v>54</x:v>
      </x:c>
      <x:c r="K116" s="10" t="s">
        <x:v>815</x:v>
      </x:c>
      <x:c r="L116" s="10" t="s">
        <x:v>55</x:v>
      </x:c>
      <x:c r="M116" s="7"/>
      <x:c r="N116" s="10" t="s">
        <x:v>816</x:v>
      </x:c>
      <x:c r="O116" s="7"/>
      <x:c r="P116" s="10" t="s">
        <x:v>817</x:v>
      </x:c>
    </x:row>
    <x:row r="117" ht="64.5" customHeight="1">
      <x:c r="A117" s="10" t="s">
        <x:v>818</x:v>
      </x:c>
      <x:c r="B117" s="10" t="s">
        <x:v>809</x:v>
      </x:c>
      <x:c r="C117" s="10" t="s">
        <x:v>810</x:v>
      </x:c>
      <x:c r="D117" s="10" t="s">
        <x:v>819</x:v>
      </x:c>
      <x:c r="E117" s="10" t="s">
        <x:v>820</x:v>
      </x:c>
      <x:c r="F117" s="10" t="s">
        <x:v>821</x:v>
      </x:c>
      <x:c r="G117" s="10" t="s">
        <x:v>822</x:v>
      </x:c>
      <x:c r="H117" s="10" t="s">
        <x:v>72</x:v>
      </x:c>
      <x:c r="I117" s="10" t="s">
        <x:v>330</x:v>
      </x:c>
      <x:c r="J117" s="10" t="s">
        <x:v>722</x:v>
      </x:c>
      <x:c r="K117" s="10" t="s">
        <x:v>808</x:v>
      </x:c>
      <x:c r="L117" s="10" t="s">
        <x:v>55</x:v>
      </x:c>
      <x:c r="M117" s="7"/>
      <x:c r="N117" s="10" t="s">
        <x:v>823</x:v>
      </x:c>
      <x:c r="O117" s="7"/>
      <x:c r="P117" s="10" t="s">
        <x:v>824</x:v>
      </x:c>
    </x:row>
    <x:row r="118" ht="64.5" customHeight="1">
      <x:c r="A118" s="10" t="s">
        <x:v>825</x:v>
      </x:c>
      <x:c r="B118" s="10" t="s">
        <x:v>809</x:v>
      </x:c>
      <x:c r="C118" s="10" t="s">
        <x:v>810</x:v>
      </x:c>
      <x:c r="D118" s="10" t="s">
        <x:v>826</x:v>
      </x:c>
      <x:c r="E118" s="10" t="s">
        <x:v>827</x:v>
      </x:c>
      <x:c r="F118" s="10" t="s">
        <x:v>828</x:v>
      </x:c>
      <x:c r="G118" s="10" t="s">
        <x:v>829</x:v>
      </x:c>
      <x:c r="H118" s="10" t="s">
        <x:v>72</x:v>
      </x:c>
      <x:c r="I118" s="10" t="s">
        <x:v>330</x:v>
      </x:c>
      <x:c r="J118" s="10" t="s">
        <x:v>54</x:v>
      </x:c>
      <x:c r="K118" s="10" t="s">
        <x:v>830</x:v>
      </x:c>
      <x:c r="L118" s="10" t="s">
        <x:v>55</x:v>
      </x:c>
      <x:c r="M118" s="7"/>
      <x:c r="N118" s="10" t="s">
        <x:v>831</x:v>
      </x:c>
      <x:c r="O118" s="7"/>
      <x:c r="P118" s="10" t="s">
        <x:v>832</x:v>
      </x:c>
    </x:row>
    <x:row r="119" ht="64.5" customHeight="1">
      <x:c r="A119" s="10" t="s">
        <x:v>833</x:v>
      </x:c>
      <x:c r="B119" s="10" t="s">
        <x:v>809</x:v>
      </x:c>
      <x:c r="C119" s="10" t="s">
        <x:v>810</x:v>
      </x:c>
      <x:c r="D119" s="10" t="s">
        <x:v>834</x:v>
      </x:c>
      <x:c r="E119" s="10" t="s">
        <x:v>835</x:v>
      </x:c>
      <x:c r="F119" s="10" t="s">
        <x:v>836</x:v>
      </x:c>
      <x:c r="G119" s="10" t="s">
        <x:v>837</x:v>
      </x:c>
      <x:c r="H119" s="10" t="s">
        <x:v>72</x:v>
      </x:c>
      <x:c r="I119" s="10" t="s">
        <x:v>330</x:v>
      </x:c>
      <x:c r="J119" s="10" t="s">
        <x:v>43</x:v>
      </x:c>
      <x:c r="K119" s="10" t="s">
        <x:v>838</x:v>
      </x:c>
      <x:c r="L119" s="10" t="s">
        <x:v>55</x:v>
      </x:c>
      <x:c r="M119" s="7"/>
      <x:c r="N119" s="10" t="s">
        <x:v>839</x:v>
      </x:c>
      <x:c r="O119" s="7"/>
      <x:c r="P119" s="10" t="s">
        <x:v>840</x:v>
      </x:c>
    </x:row>
    <x:row r="120" ht="64.5" customHeight="1">
      <x:c r="A120" s="10" t="s">
        <x:v>841</x:v>
      </x:c>
      <x:c r="B120" s="10" t="s">
        <x:v>842</x:v>
      </x:c>
      <x:c r="C120" s="10" t="s">
        <x:v>843</x:v>
      </x:c>
      <x:c r="D120" s="10" t="s">
        <x:v>844</x:v>
      </x:c>
      <x:c r="E120" s="10" t="s">
        <x:v>845</x:v>
      </x:c>
      <x:c r="F120" s="10" t="s">
        <x:v>846</x:v>
      </x:c>
      <x:c r="G120" s="10" t="s">
        <x:v>847</x:v>
      </x:c>
      <x:c r="H120" s="10" t="s">
        <x:v>72</x:v>
      </x:c>
      <x:c r="I120" s="10" t="s">
        <x:v>330</x:v>
      </x:c>
      <x:c r="J120" s="10" t="s">
        <x:v>54</x:v>
      </x:c>
      <x:c r="K120" s="10" t="s">
        <x:v>717</x:v>
      </x:c>
      <x:c r="L120" s="10" t="s">
        <x:v>55</x:v>
      </x:c>
      <x:c r="M120" s="7"/>
      <x:c r="N120" s="10" t="s">
        <x:v>848</x:v>
      </x:c>
      <x:c r="O120" s="10" t="s">
        <x:v>849</x:v>
      </x:c>
      <x:c r="P120" s="10" t="s">
        <x:v>850</x:v>
      </x:c>
    </x:row>
    <x:row r="121" ht="64.5" customHeight="1">
      <x:c r="A121" s="10" t="s">
        <x:v>851</x:v>
      </x:c>
      <x:c r="B121" s="10" t="s">
        <x:v>842</x:v>
      </x:c>
      <x:c r="C121" s="10" t="s">
        <x:v>852</x:v>
      </x:c>
      <x:c r="D121" s="10" t="s">
        <x:v>853</x:v>
      </x:c>
      <x:c r="E121" s="10" t="s">
        <x:v>854</x:v>
      </x:c>
      <x:c r="F121" s="10" t="s">
        <x:v>855</x:v>
      </x:c>
      <x:c r="G121" s="10" t="s">
        <x:v>856</x:v>
      </x:c>
      <x:c r="H121" s="10" t="s">
        <x:v>72</x:v>
      </x:c>
      <x:c r="I121" s="10" t="s">
        <x:v>330</x:v>
      </x:c>
      <x:c r="J121" s="10" t="s">
        <x:v>43</x:v>
      </x:c>
      <x:c r="K121" s="10" t="s">
        <x:v>386</x:v>
      </x:c>
      <x:c r="L121" s="10" t="s">
        <x:v>55</x:v>
      </x:c>
      <x:c r="M121" s="7"/>
      <x:c r="N121" s="10" t="s">
        <x:v>857</x:v>
      </x:c>
      <x:c r="O121" s="7"/>
      <x:c r="P121" s="10" t="s">
        <x:v>858</x:v>
      </x:c>
    </x:row>
    <x:row r="122" ht="64.5" customHeight="1">
      <x:c r="A122" s="10" t="s">
        <x:v>859</x:v>
      </x:c>
      <x:c r="B122" s="10" t="s">
        <x:v>860</x:v>
      </x:c>
      <x:c r="C122" s="10" t="s">
        <x:v>861</x:v>
      </x:c>
      <x:c r="D122" s="10" t="s">
        <x:v>862</x:v>
      </x:c>
      <x:c r="E122" s="10" t="s">
        <x:v>863</x:v>
      </x:c>
      <x:c r="F122" s="10" t="s">
        <x:v>864</x:v>
      </x:c>
      <x:c r="G122" s="10" t="s">
        <x:v>865</x:v>
      </x:c>
      <x:c r="H122" s="10" t="s">
        <x:v>72</x:v>
      </x:c>
      <x:c r="I122" s="10" t="s">
        <x:v>311</x:v>
      </x:c>
      <x:c r="J122" s="10" t="s">
        <x:v>43</x:v>
      </x:c>
      <x:c r="K122" s="10" t="s">
        <x:v>866</x:v>
      </x:c>
      <x:c r="L122" s="10" t="s">
        <x:v>55</x:v>
      </x:c>
      <x:c r="M122" s="7"/>
      <x:c r="N122" s="10" t="s">
        <x:v>867</x:v>
      </x:c>
      <x:c r="O122" s="7"/>
      <x:c r="P122" s="10" t="s">
        <x:v>868</x:v>
      </x:c>
    </x:row>
    <x:row r="123" ht="64.5" customHeight="1">
      <x:c r="A123" s="10" t="s">
        <x:v>869</x:v>
      </x:c>
      <x:c r="B123" s="10" t="s">
        <x:v>842</x:v>
      </x:c>
      <x:c r="C123" s="10" t="s">
        <x:v>870</x:v>
      </x:c>
      <x:c r="D123" s="10" t="s">
        <x:v>871</x:v>
      </x:c>
      <x:c r="E123" s="10" t="s">
        <x:v>872</x:v>
      </x:c>
      <x:c r="F123" s="10" t="s">
        <x:v>873</x:v>
      </x:c>
      <x:c r="G123" s="10" t="s">
        <x:v>874</x:v>
      </x:c>
      <x:c r="H123" s="10" t="s">
        <x:v>329</x:v>
      </x:c>
      <x:c r="I123" s="10" t="s">
        <x:v>875</x:v>
      </x:c>
      <x:c r="J123" s="10" t="s">
        <x:v>43</x:v>
      </x:c>
      <x:c r="K123" s="10" t="s">
        <x:v>876</x:v>
      </x:c>
      <x:c r="L123" s="10" t="s">
        <x:v>55</x:v>
      </x:c>
      <x:c r="M123" s="7"/>
      <x:c r="N123" s="10" t="s">
        <x:v>877</x:v>
      </x:c>
      <x:c r="O123" s="7"/>
      <x:c r="P123" s="10" t="s">
        <x:v>878</x:v>
      </x:c>
    </x:row>
    <x:row r="124" ht="64.5" customHeight="1">
      <x:c r="A124" s="10" t="s">
        <x:v>879</x:v>
      </x:c>
      <x:c r="B124" s="10" t="s">
        <x:v>880</x:v>
      </x:c>
      <x:c r="C124" s="10" t="s">
        <x:v>881</x:v>
      </x:c>
      <x:c r="D124" s="10" t="s">
        <x:v>882</x:v>
      </x:c>
      <x:c r="E124" s="10" t="s">
        <x:v>883</x:v>
      </x:c>
      <x:c r="F124" s="10" t="s">
        <x:v>884</x:v>
      </x:c>
      <x:c r="G124" s="10" t="s">
        <x:v>885</x:v>
      </x:c>
      <x:c r="H124" s="10" t="s">
        <x:v>24</x:v>
      </x:c>
      <x:c r="I124" s="10" t="s">
        <x:v>311</x:v>
      </x:c>
      <x:c r="J124" s="10" t="s">
        <x:v>26</x:v>
      </x:c>
      <x:c r="K124" s="10" t="s">
        <x:v>886</x:v>
      </x:c>
      <x:c r="L124" s="10" t="s">
        <x:v>55</x:v>
      </x:c>
      <x:c r="M124" s="7"/>
      <x:c r="N124" s="10" t="s">
        <x:v>887</x:v>
      </x:c>
      <x:c r="O124" s="7"/>
      <x:c r="P124" s="10" t="s">
        <x:v>888</x:v>
      </x:c>
    </x:row>
    <x:row r="125" ht="64.5" customHeight="1">
      <x:c r="A125" s="10" t="s">
        <x:v>889</x:v>
      </x:c>
      <x:c r="B125" s="10" t="s">
        <x:v>880</x:v>
      </x:c>
      <x:c r="C125" s="10" t="s">
        <x:v>890</x:v>
      </x:c>
      <x:c r="D125" s="10" t="s">
        <x:v>891</x:v>
      </x:c>
      <x:c r="E125" s="10" t="s">
        <x:v>892</x:v>
      </x:c>
      <x:c r="F125" s="10" t="s">
        <x:v>893</x:v>
      </x:c>
      <x:c r="G125" s="10" t="s">
        <x:v>894</x:v>
      </x:c>
      <x:c r="H125" s="10" t="s">
        <x:v>24</x:v>
      </x:c>
      <x:c r="I125" s="10" t="s">
        <x:v>311</x:v>
      </x:c>
      <x:c r="J125" s="10" t="s">
        <x:v>43</x:v>
      </x:c>
      <x:c r="K125" s="10" t="s">
        <x:v>895</x:v>
      </x:c>
      <x:c r="L125" s="10" t="s">
        <x:v>55</x:v>
      </x:c>
      <x:c r="M125" s="7"/>
      <x:c r="N125" s="10" t="s">
        <x:v>896</x:v>
      </x:c>
      <x:c r="O125" s="7"/>
      <x:c r="P125" s="10" t="s">
        <x:v>897</x:v>
      </x:c>
    </x:row>
    <x:row r="126" ht="64.5" customHeight="1">
      <x:c r="A126" s="10" t="s">
        <x:v>898</x:v>
      </x:c>
      <x:c r="B126" s="10" t="s">
        <x:v>880</x:v>
      </x:c>
      <x:c r="C126" s="10" t="s">
        <x:v>899</x:v>
      </x:c>
      <x:c r="D126" s="10" t="s">
        <x:v>900</x:v>
      </x:c>
      <x:c r="E126" s="10" t="s">
        <x:v>901</x:v>
      </x:c>
      <x:c r="F126" s="10" t="s">
        <x:v>902</x:v>
      </x:c>
      <x:c r="G126" s="10" t="s">
        <x:v>903</x:v>
      </x:c>
      <x:c r="H126" s="10" t="s">
        <x:v>72</x:v>
      </x:c>
      <x:c r="I126" s="10" t="s">
        <x:v>311</x:v>
      </x:c>
      <x:c r="J126" s="10" t="s">
        <x:v>54</x:v>
      </x:c>
      <x:c r="K126" s="10" t="s">
        <x:v>904</x:v>
      </x:c>
      <x:c r="L126" s="10" t="s">
        <x:v>55</x:v>
      </x:c>
      <x:c r="M126" s="7"/>
      <x:c r="N126" s="10" t="s">
        <x:v>905</x:v>
      </x:c>
      <x:c r="O126" s="7"/>
      <x:c r="P126" s="10" t="s">
        <x:v>906</x:v>
      </x:c>
    </x:row>
    <x:row r="127" ht="64.5" customHeight="1">
      <x:c r="A127" s="10" t="s">
        <x:v>907</x:v>
      </x:c>
      <x:c r="B127" s="10" t="s">
        <x:v>880</x:v>
      </x:c>
      <x:c r="C127" s="10" t="s">
        <x:v>908</x:v>
      </x:c>
      <x:c r="D127" s="10" t="s">
        <x:v>909</x:v>
      </x:c>
      <x:c r="E127" s="10" t="s">
        <x:v>910</x:v>
      </x:c>
      <x:c r="F127" s="10" t="s">
        <x:v>911</x:v>
      </x:c>
      <x:c r="G127" s="10" t="s">
        <x:v>912</x:v>
      </x:c>
      <x:c r="H127" s="10" t="s">
        <x:v>24</x:v>
      </x:c>
      <x:c r="I127" s="10" t="s">
        <x:v>311</x:v>
      </x:c>
      <x:c r="J127" s="10" t="s">
        <x:v>26</x:v>
      </x:c>
      <x:c r="K127" s="10" t="s">
        <x:v>913</x:v>
      </x:c>
      <x:c r="L127" s="10" t="s">
        <x:v>55</x:v>
      </x:c>
      <x:c r="M127" s="7"/>
      <x:c r="N127" s="10" t="s">
        <x:v>914</x:v>
      </x:c>
      <x:c r="O127" s="7"/>
      <x:c r="P127" s="10" t="s">
        <x:v>915</x:v>
      </x:c>
    </x:row>
    <x:row r="128" ht="64.5" customHeight="1">
      <x:c r="A128" s="18" t="str">
        <x:v>PW-124</x:v>
      </x:c>
      <x:c r="B128" s="18" t="str">
        <x:v>Measurement</x:v>
      </x:c>
      <x:c r="C128" s="18" t="str">
        <x:v>Search Engines</x:v>
      </x:c>
      <x:c r="D128" s="18" t="str">
        <x:v>Verify Bing Webmaster Tools and submit canonical sitemap</x:v>
      </x:c>
      <x:c r="E128" s="18" t="str">
        <x:v>Add Bing/Microsoft search visibility so Pathwisse is not dependent on Google-only crawl and query data.</x:v>
      </x:c>
      <x:c r="F128" s="18" t="str">
        <x:v>Verify the pathwisse.com domain in Bing Webmaster Tools using DNS or supported import, submit https://pathwisse.com/sitemap.xml, inspect the homepage plus representative career/blog routes, and record ownership/access. Keep the same canonical/indexation policy used for Google.</x:v>
      </x:c>
      <x:c r="G128" s="18" t="str">
        <x:v>Domain is verified; canonical sitemap is accepted; homepage and at least 3 public content routes are discoverable in Bing tooling; ownership is documented and not tied to one individual.</x:v>
      </x:c>
      <x:c r="H128" s="18" t="str">
        <x:v>P1</x:v>
      </x:c>
      <x:c r="I128" s="18" t="str">
        <x:v>Phase 1</x:v>
      </x:c>
      <x:c r="J128" s="18" t="str">
        <x:v>S</x:v>
      </x:c>
      <x:c r="K128" s="18" t="str">
        <x:v>PW-005,PW-018</x:v>
      </x:c>
      <x:c r="L128" s="18" t="str">
        <x:v>Backlog</x:v>
      </x:c>
      <x:c r="M128" s="18"/>
      <x:c r="N128" s="18" t="str">
        <x:v>Bing sitemap accepted + representative URLs discoverable</x:v>
      </x:c>
      <x:c r="O128" s="18"/>
      <x:c r="P128" s="18" t="str">
        <x:v>Do not create alternate canonicals or Bing-only content. Treat Bing as another consumer of the same public web architecture.</x:v>
      </x:c>
    </x:row>
    <x:row r="129">
      <x:c r="A129" s="20" t="str">
        <x:v>PW-125</x:v>
      </x:c>
      <x:c r="B129" s="20" t="str">
        <x:v>Measurement</x:v>
      </x:c>
      <x:c r="C129" s="20" t="str">
        <x:v>Cloudflare Analytics</x:v>
      </x:c>
      <x:c r="D129" s="20" t="str">
        <x:v>Enable Cloudflare Web Analytics and capture public-site baseline</x:v>
      </x:c>
      <x:c r="E129" s="20" t="str">
        <x:v>Add privacy-conscious edge-side visibility for traffic and performance independent of application analytics.</x:v>
      </x:c>
      <x:c r="F129" s="20" t="str">
        <x:v>After the public host is safely proxied through Cloudflare, enable Cloudflare Web Analytics for pathwisse.com. Capture a baseline for page views, top paths, countries, referrers and Core Web Vitals where available; compare directional totals with GA4/PostHog rather than forcing exact parity.</x:v>
      </x:c>
      <x:c r="G129" s="20" t="str">
        <x:v>Cloudflare Web Analytics is collecting production traffic; internal/preview traffic is understood; baseline screenshots or exported metrics are attached to the operating tracker; discrepancies versus GA4 are documented rather than silently ignored.</x:v>
      </x:c>
      <x:c r="H129" s="20" t="str">
        <x:v>P1</x:v>
      </x:c>
      <x:c r="I129" s="20" t="str">
        <x:v>Phase 1</x:v>
      </x:c>
      <x:c r="J129" s="20" t="str">
        <x:v>S</x:v>
      </x:c>
      <x:c r="K129" s="20" t="str">
        <x:v>PW-005</x:v>
      </x:c>
      <x:c r="L129" s="20" t="str">
        <x:v>Backlog</x:v>
      </x:c>
      <x:c r="M129" s="20"/>
      <x:c r="N129" s="20" t="str">
        <x:v>Cloudflare production traffic baseline available</x:v>
      </x:c>
      <x:c r="O129" s="20" t="str">
        <x:v>pathwisse.com</x:v>
      </x:c>
      <x:c r="P129" s="20" t="str">
        <x:v>Do not use analytics discrepancies as evidence of data loss without accounting for consent, blockers and measurement-method differences.</x:v>
      </x:c>
    </x:row>
    <x:row r="130">
      <x:c r="A130" s="20" t="str">
        <x:v>PW-126</x:v>
      </x:c>
      <x:c r="B130" s="20" t="str">
        <x:v>AI Discovery</x:v>
      </x:c>
      <x:c r="C130" s="20" t="str">
        <x:v>Cloudflare AI Crawl Control</x:v>
      </x:c>
      <x:c r="D130" s="20" t="str">
        <x:v>Enable AI Crawl Control and establish crawler baseline</x:v>
      </x:c>
      <x:c r="E130" s="20" t="str">
        <x:v>See which AI systems actually request Pathwisse content before making crawler-policy decisions.</x:v>
      </x:c>
      <x:c r="F130" s="20" t="str">
        <x:v>Once pathwisse.com is proxied, enable/review Cloudflare AI Crawl Control. Capture crawler request volume, providers/user agents, status-code distribution, top requested paths and robots/directive compliance. Pay special attention to /careers, /roadmaps, /skills, /blog and /research. Reference: https://developers.cloudflare.com/ai-crawl-control/</x:v>
      </x:c>
      <x:c r="G130" s="20" t="str">
        <x:v>AI crawler activity is visible for the production zone; a baseline report identifies legitimate crawlers, unknown crawlers, top content paths and crawl errors; no legitimate search crawler is accidentally blocked.</x:v>
      </x:c>
      <x:c r="H130" s="20" t="str">
        <x:v>P1</x:v>
      </x:c>
      <x:c r="I130" s="20" t="str">
        <x:v>Phase 3</x:v>
      </x:c>
      <x:c r="J130" s="20" t="str">
        <x:v>M</x:v>
      </x:c>
      <x:c r="K130" s="20" t="str">
        <x:v>PW-005,PW-017</x:v>
      </x:c>
      <x:c r="L130" s="20" t="str">
        <x:v>Backlog</x:v>
      </x:c>
      <x:c r="M130" s="20"/>
      <x:c r="N130" s="20" t="str">
        <x:v>AI crawler requests + error rate + top crawled sections</x:v>
      </x:c>
      <x:c r="O130" s="20" t="str">
        <x:v>pathwisse.com</x:v>
      </x:c>
      <x:c r="P130" s="20" t="str">
        <x:v>Observation first. Do not mass-block AI crawlers before the acquisition/citation strategy and crawler identity are understood.</x:v>
      </x:c>
    </x:row>
    <x:row r="131">
      <x:c r="A131" s="20" t="str">
        <x:v>PW-127</x:v>
      </x:c>
      <x:c r="B131" s="20" t="str">
        <x:v>AI Discovery</x:v>
      </x:c>
      <x:c r="C131" s="20" t="str">
        <x:v>Crawler Governance</x:v>
      </x:c>
      <x:c r="D131" s="20" t="str">
        <x:v>Define search and AI crawler allow/block policy</x:v>
      </x:c>
      <x:c r="E131" s="20" t="str">
        <x:v>Make crawler access deliberate: maximize public discovery while protecting private content and controlling abusive scraping.</x:v>
      </x:c>
      <x:c r="F131" s="20" t="str">
        <x:v>Classify verified search crawlers, AI search/retrieval crawlers, AI training crawlers, unknown scrapers and abusive bots. Define allow, monitor, rate-limit or block actions by category and path. Keep authenticated/app/private routes out of scope for public crawling. Align robots.txt, Cloudflare controls and any Content Signals directives so they do not contradict each other.</x:v>
      </x:c>
      <x:c r="G131" s="20" t="str">
        <x:v>A documented crawler policy exists with category, action, rationale and protected paths; robots.txt and Cloudflare rules are consistent; private/authenticated content is not opened for discovery; changes have rollback steps.</x:v>
      </x:c>
      <x:c r="H131" s="20" t="str">
        <x:v>P1</x:v>
      </x:c>
      <x:c r="I131" s="20" t="str">
        <x:v>Phase 3</x:v>
      </x:c>
      <x:c r="J131" s="20" t="str">
        <x:v>M</x:v>
      </x:c>
      <x:c r="K131" s="20" t="str">
        <x:v>PW-126,PW-017,PW-016</x:v>
      </x:c>
      <x:c r="L131" s="20" t="str">
        <x:v>Backlog</x:v>
      </x:c>
      <x:c r="M131" s="20"/>
      <x:c r="N131" s="20" t="str">
        <x:v>0 accidental blocks of desired crawlers; 0 private-path exposures</x:v>
      </x:c>
      <x:c r="O131" s="20"/>
      <x:c r="P131" s="20" t="str">
        <x:v>Do not treat every AI bot the same. Search/retrieval discovery and model-training access are different policy decisions.</x:v>
      </x:c>
    </x:row>
    <x:row r="132">
      <x:c r="A132" s="20" t="str">
        <x:v>PW-128</x:v>
      </x:c>
      <x:c r="B132" s="20" t="str">
        <x:v>SEO</x:v>
      </x:c>
      <x:c r="C132" s="20" t="str">
        <x:v>Sitemaps</x:v>
      </x:c>
      <x:c r="D132" s="20" t="str">
        <x:v>Split sitemap into content-type sitemap index</x:v>
      </x:c>
      <x:c r="E132" s="20" t="str">
        <x:v>Give search engines a clearer, scalable inventory as Pathwisse adds careers, roadmaps, skills, blogs and research pages.</x:v>
      </x:c>
      <x:c r="F132" s="20" t="str">
        <x:v>Evolve the existing sitemap into an index that can reference content-type sitemaps such as /sitemaps/pages.xml, /sitemaps/careers.xml, /sitemaps/roadmaps.xml, /sitemaps/skills.xml, /sitemaps/blog.xml, /sitemaps/guides.xml and /sitemaps/research.xml. Include only canonical, indexable, HTTP-200 URLs and correct lastmod when content materially changes.</x:v>
      </x:c>
      <x:c r="G132" s="20" t="str">
        <x:v>https://pathwisse.com/sitemap.xml returns a valid sitemap index; child sitemaps validate; no redirect/noindex/private URL is present; URL counts reconcile with the publishable content inventory; CI catches route/sitemap drift.</x:v>
      </x:c>
      <x:c r="H132" s="20" t="str">
        <x:v>P1</x:v>
      </x:c>
      <x:c r="I132" s="20" t="str">
        <x:v>Phase 2</x:v>
      </x:c>
      <x:c r="J132" s="20" t="str">
        <x:v>M</x:v>
      </x:c>
      <x:c r="K132" s="20" t="str">
        <x:v>PW-018,PW-030,PW-044</x:v>
      </x:c>
      <x:c r="L132" s="20" t="str">
        <x:v>Backlog</x:v>
      </x:c>
      <x:c r="M132" s="20"/>
      <x:c r="N132" s="20" t="str">
        <x:v>100% canonical published URLs represented; 0 invalid sitemap URLs</x:v>
      </x:c>
      <x:c r="O132" s="20" t="str">
        <x:v>/sitemap.xml</x:v>
      </x:c>
      <x:c r="P132" s="20" t="str">
        <x:v>Do not manufacture lastmod timestamps on every build. Update lastmod only when the underlying page materially changes.</x:v>
      </x:c>
    </x:row>
    <x:row r="133">
      <x:c r="A133" s="20" t="str">
        <x:v>PW-129</x:v>
      </x:c>
      <x:c r="B133" s="20" t="str">
        <x:v>SEO</x:v>
      </x:c>
      <x:c r="C133" s="20" t="str">
        <x:v>Rendering</x:v>
      </x:c>
      <x:c r="D133" s="20" t="str">
        <x:v>Serve meaningful crawlable HTML for all public acquisition routes</x:v>
      </x:c>
      <x:c r="E133" s="20" t="str">
        <x:v>Ensure Google, Bing and AI retrieval systems can understand the core page even if client-side JavaScript is delayed or unavailable.</x:v>
      </x:c>
      <x:c r="F133" s="20" t="str">
        <x:v>Use the PW-023 rendering audit to identify routes whose initial HTML is only an app shell. For public careers, roadmaps, skills, blogs, guides, comparisons and research pages, implement pre-rendering/SSR/static generation or an equivalent architecture so title, H1, primary answer/content, canonical and structured data exist in the delivered HTML. Preserve SPA interactivity after hydration.</x:v>
      </x:c>
      <x:c r="G133" s="20" t="str">
        <x:v>For representative routes in every public template, View Source/HTTP fetch contains unique title, canonical, H1 and meaningful body text before client JS executes; direct navigation returns 200; hydration produces no critical mismatch.</x:v>
      </x:c>
      <x:c r="H133" s="20" t="str">
        <x:v>P0</x:v>
      </x:c>
      <x:c r="I133" s="20" t="str">
        <x:v>Phase 2</x:v>
      </x:c>
      <x:c r="J133" s="20" t="str">
        <x:v>L</x:v>
      </x:c>
      <x:c r="K133" s="20" t="str">
        <x:v>PW-023,PW-032,PW-033,PW-034,PW-040</x:v>
      </x:c>
      <x:c r="L133" s="20" t="str">
        <x:v>Backlog</x:v>
      </x:c>
      <x:c r="M133" s="20"/>
      <x:c r="N133" s="20" t="str">
        <x:v>100% priority public templates expose meaningful initial HTML</x:v>
      </x:c>
      <x:c r="O133" s="20"/>
      <x:c r="P133" s="20" t="str">
        <x:v>Do not SSR authenticated application pages just for SEO. Scope this to public acquisition/knowledge routes.</x:v>
      </x:c>
    </x:row>
    <x:row r="134">
      <x:c r="A134" s="20" t="str">
        <x:v>PW-130</x:v>
      </x:c>
      <x:c r="B134" s="20" t="str">
        <x:v>Content</x:v>
      </x:c>
      <x:c r="C134" s="20" t="str">
        <x:v>Entity Authority</x:v>
      </x:c>
      <x:c r="D134" s="20" t="str">
        <x:v>Publish About, Methodology, Editorial Policy and Review Process pages</x:v>
      </x:c>
      <x:c r="E134" s="20" t="str">
        <x:v>Make Pathwisse's identity, content standards and research methods explicit for users, search engines and AI systems.</x:v>
      </x:c>
      <x:c r="F134" s="20" t="str">
        <x:v>Create /about, /about/methodology, /about/editorial-policy and /about/review-process. Explain what Pathwisse does, intended audience, how career guidance is produced, how sources are selected, how claims are reviewed/updated, correction process and separation of editorial guidance from commercial CTAs. Link these pages from footer and relevant author/research surfaces.</x:v>
      </x:c>
      <x:c r="G134" s="20" t="str">
        <x:v>All four pages are published, indexable and internally linked; claims match the actual product/editorial process; policies name update/correction expectations; no fabricated credentials or unsupported outcome claims are present.</x:v>
      </x:c>
      <x:c r="H134" s="20" t="str">
        <x:v>P1</x:v>
      </x:c>
      <x:c r="I134" s="20" t="str">
        <x:v>Phase 3</x:v>
      </x:c>
      <x:c r="J134" s="20" t="str">
        <x:v>L</x:v>
      </x:c>
      <x:c r="K134" s="20" t="str">
        <x:v>PW-042,PW-043,PW-045</x:v>
      </x:c>
      <x:c r="L134" s="20" t="str">
        <x:v>Backlog</x:v>
      </x:c>
      <x:c r="M134" s="20"/>
      <x:c r="N134" s="20" t="str">
        <x:v>Entity/policy pages indexed + referenced by content templates</x:v>
      </x:c>
      <x:c r="O134" s="20" t="str">
        <x:v>/about</x:v>
      </x:c>
      <x:c r="P134" s="20" t="str">
        <x:v>Describe the process Pathwisse actually follows. Policy pages must not promise reviews, experts or validation that the team does not perform.</x:v>
      </x:c>
    </x:row>
    <x:row r="135">
      <x:c r="A135" s="20" t="str">
        <x:v>PW-131</x:v>
      </x:c>
      <x:c r="B135" s="20" t="str">
        <x:v>SEO</x:v>
      </x:c>
      <x:c r="C135" s="20" t="str">
        <x:v>Structured Data</x:v>
      </x:c>
      <x:c r="D135" s="20" t="str">
        <x:v>Implement Person/author/reviewer schema with consistent publisher identity</x:v>
      </x:c>
      <x:c r="E135" s="20" t="str">
        <x:v>Connect content authorship and Pathwisse publisher identity in a machine-readable, internally consistent way.</x:v>
      </x:c>
      <x:c r="F135" s="20" t="str">
        <x:v>Extend the author/reviewer system with valid Person schema on profile/content pages and consistent Organization publisher references from Article/BlogPosting. Keep names, profile URLs, roles and sameAs links identical across visible UI and JSON-LD. Add reviewer only when a real review occurred.</x:v>
      </x:c>
      <x:c r="G135" s="20" t="str">
        <x:v>Priority articles validate without critical schema errors; author/reviewer visible text matches JSON-LD; Organization publisher identity is consistent; profiles resolve to stable public URLs; no fake reviewer markup is generated.</x:v>
      </x:c>
      <x:c r="H135" s="20" t="str">
        <x:v>P1</x:v>
      </x:c>
      <x:c r="I135" s="20" t="str">
        <x:v>Phase 3</x:v>
      </x:c>
      <x:c r="J135" s="20" t="str">
        <x:v>M</x:v>
      </x:c>
      <x:c r="K135" s="20" t="str">
        <x:v>PW-045,PW-104,PW-106,PW-130</x:v>
      </x:c>
      <x:c r="L135" s="20" t="str">
        <x:v>Backlog</x:v>
      </x:c>
      <x:c r="M135" s="20"/>
      <x:c r="N135" s="20" t="str">
        <x:v>0 critical author/publisher schema errors</x:v>
      </x:c>
      <x:c r="O135" s="20"/>
      <x:c r="P135" s="20" t="str">
        <x:v>Structured data must mirror visible truth. Never add a reviewer or credential solely to make the schema look stronger.</x:v>
      </x:c>
    </x:row>
    <x:row r="136">
      <x:c r="A136" s="20" t="str">
        <x:v>PW-132</x:v>
      </x:c>
      <x:c r="B136" s="20" t="str">
        <x:v>Content</x:v>
      </x:c>
      <x:c r="C136" s="20" t="str">
        <x:v>B2B SEO Cluster</x:v>
      </x:c>
      <x:c r="D136" s="20" t="str">
        <x:v>Launch college/TPO employability content cluster</x:v>
      </x:c>
      <x:c r="E136" s="20" t="str">
        <x:v>Create a second acquisition surface for college leaders, placement teams and institutional buyers instead of relying only on student-intent traffic.</x:v>
      </x:c>
      <x:c r="F136" s="20" t="str">
        <x:v>Publish an initial cluster around: improving student employability, measuring placement readiness, building a placement-readiness framework, running career mentoring at scale, and identifying skill gaps in engineering students. Each article should link to the relevant Pathwisse institutional proposition and to supporting research/methodology where available.</x:v>
      </x:c>
      <x:c r="G136" s="20" t="str">
        <x:v>At least 5 high-quality B2B articles are published with unique search intent, sources, contextual internal links and an institutional CTA; cluster hub/navigation connects the pages; no student-focused article is merely rewritten with 'college' keywords.</x:v>
      </x:c>
      <x:c r="H136" s="20" t="str">
        <x:v>P1</x:v>
      </x:c>
      <x:c r="I136" s="20" t="str">
        <x:v>Phase 3</x:v>
      </x:c>
      <x:c r="J136" s="20" t="str">
        <x:v>L</x:v>
      </x:c>
      <x:c r="K136" s="20" t="str">
        <x:v>PW-040,PW-041,PW-042,PW-044,PW-046</x:v>
      </x:c>
      <x:c r="L136" s="20" t="str">
        <x:v>Backlog</x:v>
      </x:c>
      <x:c r="M136" s="20"/>
      <x:c r="N136" s="20" t="str">
        <x:v>B2B non-brand impressions + qualified college enquiries</x:v>
      </x:c>
      <x:c r="O136" s="20" t="str">
        <x:v>/blog</x:v>
      </x:c>
      <x:c r="P136" s="20" t="str">
        <x:v>Write for actual TPO/college operating problems. Avoid generic edtech thought-leadership filler.</x:v>
      </x:c>
    </x:row>
    <x:row r="137">
      <x:c r="A137" s="20" t="str">
        <x:v>PW-133</x:v>
      </x:c>
      <x:c r="B137" s="20" t="str">
        <x:v>Content</x:v>
      </x:c>
      <x:c r="C137" s="20" t="str">
        <x:v>AI Careers Cluster</x:v>
      </x:c>
      <x:c r="D137" s="20" t="str">
        <x:v>Launch AI-career discovery content cluster</x:v>
      </x:c>
      <x:c r="E137" s="20" t="str">
        <x:v>Own high-growth student questions around AI careers and connect them to Pathwisse career roadmaps.</x:v>
      </x:c>
      <x:c r="F137" s="20" t="str">
        <x:v>Publish a connected cluster covering how to become an AI Engineer, AI Engineer roadmap, AI Engineer vs Data Scientist, skills required for AI Engineers, and AI careers for freshers. Reuse canonical career/roadmap entities rather than duplicating them; articles should answer the query directly then route users to deeper Pathwisse pages.</x:v>
      </x:c>
      <x:c r="G137" s="20" t="str">
        <x:v>At least 5 cluster pages are published with distinct intent, answer-first introductions, source blocks, career/roadmap links, related-content modules and tracked CTAs; no keyword cannibalization with canonical career/roadmap pages.</x:v>
      </x:c>
      <x:c r="H137" s="20" t="str">
        <x:v>P1</x:v>
      </x:c>
      <x:c r="I137" s="20" t="str">
        <x:v>Phase 3</x:v>
      </x:c>
      <x:c r="J137" s="20" t="str">
        <x:v>L</x:v>
      </x:c>
      <x:c r="K137" s="20" t="str">
        <x:v>PW-040,PW-032,PW-033,PW-050,PW-097</x:v>
      </x:c>
      <x:c r="L137" s="20" t="str">
        <x:v>Backlog</x:v>
      </x:c>
      <x:c r="M137" s="20"/>
      <x:c r="N137" s="20" t="str">
        <x:v>AI-career impressions + organic roadmap starts</x:v>
      </x:c>
      <x:c r="O137" s="20" t="str">
        <x:v>/blog</x:v>
      </x:c>
      <x:c r="P137" s="20" t="str">
        <x:v>Respect the keyword map. The career entity page, roadmap page and blog article must each have a different job to do.</x:v>
      </x:c>
    </x:row>
    <x:row r="138">
      <x:c r="A138" s="20" t="str">
        <x:v>PW-134</x:v>
      </x:c>
      <x:c r="B138" s="20" t="str">
        <x:v>Content</x:v>
      </x:c>
      <x:c r="C138" s="20" t="str">
        <x:v>Placement Cluster</x:v>
      </x:c>
      <x:c r="D138" s="20" t="str">
        <x:v>Launch campus-placement preparation content cluster</x:v>
      </x:c>
      <x:c r="E138" s="20" t="str">
        <x:v>Capture high-intent student demand immediately adjacent to job readiness and product activation.</x:v>
      </x:c>
      <x:c r="F138" s="20" t="str">
        <x:v>Publish a cluster covering campus placement preparation, placement preparation roadmap, aptitude preparation, fresher resume building and technical interview preparation. Link to practice/roadmap/product surfaces only where the landing path exists and is usable.</x:v>
      </x:c>
      <x:c r="G138" s="20" t="str">
        <x:v>At least 5 placement articles are published with distinct intent, practical checklists/examples, internal links and conversion tracking; CTAs resolve to functioning product experiences; no unsupported placement-success promises are made.</x:v>
      </x:c>
      <x:c r="H138" s="20" t="str">
        <x:v>P1</x:v>
      </x:c>
      <x:c r="I138" s="20" t="str">
        <x:v>Phase 3</x:v>
      </x:c>
      <x:c r="J138" s="20" t="str">
        <x:v>L</x:v>
      </x:c>
      <x:c r="K138" s="20" t="str">
        <x:v>PW-040,PW-041,PW-044,PW-108,PW-012</x:v>
      </x:c>
      <x:c r="L138" s="20" t="str">
        <x:v>Backlog</x:v>
      </x:c>
      <x:c r="M138" s="20"/>
      <x:c r="N138" s="20" t="str">
        <x:v>Placement-cluster organic sessions + assessment/signup starts</x:v>
      </x:c>
      <x:c r="O138" s="20" t="str">
        <x:v>/blog</x:v>
      </x:c>
      <x:c r="P138" s="20" t="str">
        <x:v>Do not promise jobs, placements or salary outcomes. Sell the next useful action, not an outcome Pathwisse cannot guarantee.</x:v>
      </x:c>
    </x:row>
    <x:row r="139">
      <x:c r="A139" s="20" t="str">
        <x:v>PW-135</x:v>
      </x:c>
      <x:c r="B139" s="20" t="str">
        <x:v>SEO</x:v>
      </x:c>
      <x:c r="C139" s="20" t="str">
        <x:v>Internal Linking</x:v>
      </x:c>
      <x:c r="D139" s="20" t="str">
        <x:v>Implement editorial internal-link rules before programmatic scale</x:v>
      </x:c>
      <x:c r="E139" s="20" t="str">
        <x:v>Create the knowledge graph manually on priority content before automating it across thousands of pages.</x:v>
      </x:c>
      <x:c r="F139" s="20" t="str">
        <x:v>Define template and editorial rules that connect Blog/Guide → Career → Roadmap → Skill/Project → Assessment/Product and also link laterally to genuine comparisons/related careers. Add contextual anchors inside the body plus bounded related-content modules. Generate a report of orphan priority pages and links per page.</x:v>
      </x:c>
      <x:c r="G139" s="20" t="str">
        <x:v>Every priority career, roadmap, skill, comparison and launch-cluster article has at least one relevant inbound and outbound contextual link; priority orphan count is zero; links use descriptive anchors and do not create repetitive sitewide keyword stuffing.</x:v>
      </x:c>
      <x:c r="H139" s="20" t="str">
        <x:v>P0</x:v>
      </x:c>
      <x:c r="I139" s="20" t="str">
        <x:v>Phase 3</x:v>
      </x:c>
      <x:c r="J139" s="20" t="str">
        <x:v>M</x:v>
      </x:c>
      <x:c r="K139" s="20" t="str">
        <x:v>PW-024,PW-032,PW-033,PW-034,PW-035,PW-040,PW-046</x:v>
      </x:c>
      <x:c r="L139" s="20" t="str">
        <x:v>Backlog</x:v>
      </x:c>
      <x:c r="M139" s="20"/>
      <x:c r="N139" s="20" t="str">
        <x:v>0 priority orphan pages; internal-link CTR</x:v>
      </x:c>
      <x:c r="O139" s="20"/>
      <x:c r="P139" s="20" t="str">
        <x:v>Relevance beats link quantity. Do not force every article to link to every product/entity.</x:v>
      </x:c>
    </x:row>
    <x:row r="140">
      <x:c r="A140" s="20" t="str">
        <x:v>PW-136</x:v>
      </x:c>
      <x:c r="B140" s="20" t="str">
        <x:v>AI Discovery</x:v>
      </x:c>
      <x:c r="C140" s="20" t="str">
        <x:v>Citation Benchmark</x:v>
      </x:c>
      <x:c r="D140" s="20" t="str">
        <x:v>Create recurring AI-answer and citation benchmark</x:v>
      </x:c>
      <x:c r="E140" s="20" t="str">
        <x:v>Measure whether Pathwisse is becoming discoverable in answer engines instead of relying only on referral traffic that may be hidden.</x:v>
      </x:c>
      <x:c r="F140" s="20" t="str">
        <x:v>Define 20-30 representative prompts across career choice, roadmaps, skills, comparisons, placement readiness and employability. Once per month, record whether major answer/search assistants mention or cite Pathwisse, which Pathwisse URL appears, competing sources and answer quality. Use the benchmark directionally because model outputs vary by time, user and location.</x:v>
      </x:c>
      <x:c r="G140" s="20" t="str">
        <x:v>A versioned prompt set and monthly benchmark sheet exist; each run records date, platform, prompt, Pathwisse mention/citation, cited URL and notable competitors; resulting content/authority actions are added to the backlog when patterns repeat.</x:v>
      </x:c>
      <x:c r="H140" s="20" t="str">
        <x:v>P1</x:v>
      </x:c>
      <x:c r="I140" s="20" t="str">
        <x:v>Phase 4</x:v>
      </x:c>
      <x:c r="J140" s="20" t="str">
        <x:v>M</x:v>
      </x:c>
      <x:c r="K140" s="20" t="str">
        <x:v>PW-097,PW-098,PW-099,PW-126</x:v>
      </x:c>
      <x:c r="L140" s="20" t="str">
        <x:v>Backlog</x:v>
      </x:c>
      <x:c r="M140" s="20"/>
      <x:c r="N140" s="20" t="str">
        <x:v>Share of benchmark prompts mentioning/citing Pathwisse</x:v>
      </x:c>
      <x:c r="O140" s="20"/>
      <x:c r="P140" s="20" t="str">
        <x:v>Do not claim deterministic rankings from one AI response. Use repeated patterns as signals, not guarantees.</x:v>
      </x:c>
    </x:row>
    <x:row r="141">
      <x:c r="A141" s="20" t="str">
        <x:v>PW-137</x:v>
      </x:c>
      <x:c r="B141" s="20" t="str">
        <x:v>Operations</x:v>
      </x:c>
      <x:c r="C141" s="20" t="str">
        <x:v>Publishing Cadence</x:v>
      </x:c>
      <x:c r="D141" s="20" t="str">
        <x:v>Establish 90-day editorial sprint and publishing cadence</x:v>
      </x:c>
      <x:c r="E141" s="20" t="str">
        <x:v>Turn the strategy into a repeatable operating rhythm with clear throughput, quality gates and review dates.</x:v>
      </x:c>
      <x:c r="F141" s="20" t="str">
        <x:v>Build a 90-day queue from the priority model. Target, once templates and QA are stable, roughly 2 career/roadmap assets, 3 high-quality blog articles and 2 guide/comparison assets per week. Assign research, draft, fact-check, SEO QA, publish and refresh owners; keep a ready queue of at least two weeks. Reduce cadence rather than bypassing quality gates.</x:v>
      </x:c>
      <x:c r="G141" s="20" t="str">
        <x:v>A dated 90-day publishing calendar exists with owner, content type, target query/entity, dependency and status; every scheduled asset passes PW-044; backlog capacity is visible; 30/60/90-day refresh dates are created at publish time.</x:v>
      </x:c>
      <x:c r="H141" s="20" t="str">
        <x:v>P0</x:v>
      </x:c>
      <x:c r="I141" s="20" t="str">
        <x:v>Phase 3</x:v>
      </x:c>
      <x:c r="J141" s="20" t="str">
        <x:v>M</x:v>
      </x:c>
      <x:c r="K141" s="20" t="str">
        <x:v>PW-044,PW-049,PW-051,PW-071,PW-083,PW-120,PW-121</x:v>
      </x:c>
      <x:c r="L141" s="20" t="str">
        <x:v>Backlog</x:v>
      </x:c>
      <x:c r="M141" s="20"/>
      <x:c r="N141" s="20" t="str">
        <x:v>Planned vs published quality-approved assets per week</x:v>
      </x:c>
      <x:c r="O141" s="20"/>
      <x:c r="P141" s="20" t="str">
        <x:v>The cadence is a capacity target, not a quota. Do not publish thin pages to hit seven URLs in a week.</x:v>
      </x:c>
    </x:row>
  </x:sheetData>
  <x:mergeCells>
    <x:mergeCell ref="A1:P1"/>
    <x:mergeCell ref="A2:P2"/>
  </x:mergeCells>
  <x:conditionalFormatting sqref="H5:H128">
    <x:cfRule type="cellIs" dxfId="0" priority="1" stopIfTrue="1" operator="equal">
      <x:formula>"P0"</x:formula>
    </x:cfRule>
  </x:conditionalFormatting>
  <x:conditionalFormatting sqref="H5:H128">
    <x:cfRule type="cellIs" dxfId="1" priority="2" stopIfTrue="1" operator="equal">
      <x:formula>"P1"</x:formula>
    </x:cfRule>
  </x:conditionalFormatting>
  <x:conditionalFormatting sqref="H5:H128">
    <x:cfRule type="cellIs" dxfId="2" priority="3" stopIfTrue="1" operator="equal">
      <x:formula>"P2"</x:formula>
    </x:cfRule>
  </x:conditionalFormatting>
  <x:conditionalFormatting sqref="L5:L128">
    <x:cfRule type="cellIs" dxfId="3" priority="4" stopIfTrue="1" operator="equal">
      <x:formula>"Done"</x:formula>
    </x:cfRule>
  </x:conditionalFormatting>
  <x:conditionalFormatting sqref="L5:L128">
    <x:cfRule type="cellIs" dxfId="4" priority="5" stopIfTrue="1" operator="equal">
      <x:formula>"In Progress"</x:formula>
    </x:cfRule>
  </x:conditionalFormatting>
  <x:conditionalFormatting sqref="L5:L128">
    <x:cfRule type="cellIs" dxfId="5" priority="6" stopIfTrue="1" operator="equal">
      <x:formula>"Blocked"</x:formula>
    </x:cfRule>
  </x:conditionalFormatting>
  <x:dataValidations count="4">
    <x:dataValidation type="list" allowBlank="1" showErrorMessage="1" sqref="H5:H128">
      <x:formula1>"P0,P1,P2"</x:formula1>
    </x:dataValidation>
    <x:dataValidation type="list" allowBlank="1" showErrorMessage="1" sqref="L5:L128">
      <x:formula1>"Backlog,Ready,In Progress,Review,Blocked,Done"</x:formula1>
    </x:dataValidation>
    <x:dataValidation type="list" allowBlank="1" showErrorMessage="1" sqref="J5:J128">
      <x:formula1>"S,M,L,XL"</x:formula1>
    </x:dataValidation>
    <x:dataValidation type="list" allowBlank="1" showErrorMessage="1" sqref="I5:I128">
      <x:formula1>"Phase 1,Phase 2,Phase 3,Phase 4,Phase 5,Phase 6"</x:formula1>
    </x:dataValidation>
  </x:dataValidations>
  <x:pageMargins left="0.7" right="0.7" top="0.75" bottom="0.75" header="0.3" footer="0.3"/>
  <x:legacyDrawing xmlns:r="http://schemas.openxmlformats.org/officeDocument/2006/relationships" r:id="R6657f15a77fe4037"/>
</x:worksheet>
</file>

<file path=xl/worksheets/sheet2.xml><?xml version="1.0" encoding="utf-8"?>
<x:worksheet xmlns:x="http://schemas.openxmlformats.org/spreadsheetml/2006/main">
  <x:sheetFormatPr defaultColWidth="12.630000114440918" defaultRowHeight="15.75"/>
  <x:cols>
    <x:col min="1" max="2" width="18.8799991607666" customWidth="1"/>
    <x:col min="3" max="3" width="34" hidden="0" customWidth="1"/>
    <x:col min="4" max="4" width="38" hidden="0" customWidth="1"/>
    <x:col min="5" max="5" width="17" hidden="0" customWidth="1"/>
    <x:col min="6" max="6" width="45.130001068115234" customWidth="1"/>
    <x:col min="1" max="1" width="18" hidden="0" customWidth="1"/>
    <x:col min="2" max="2" width="31" hidden="0" customWidth="1"/>
  </x:cols>
  <x:sheetData>
    <x:row r="1" ht="28" customHeight="1">
      <x:c r="A1" s="35" t="str">
        <x:v>Pathwisse SEO + AI Discovery Execution Dashboard</x:v>
      </x:c>
      <x:c r="B1" s="36"/>
      <x:c r="C1" s="36"/>
      <x:c r="D1" s="36"/>
      <x:c r="E1" s="36"/>
    </x:row>
    <x:row r="2" ht="34" customHeight="1">
      <x:c r="A2" s="27" t="str">
        <x:v>Use this page for weekly prioritisation. The Master Tasks tab is the execution source of truth, including Cloudflare edge setup, technical SEO, content clusters, AI-crawler visibility and 90-day publishing operations.</x:v>
      </x:c>
      <x:c r="B2" s="27"/>
      <x:c r="C2" s="27"/>
      <x:c r="D2" s="27"/>
      <x:c r="E2" s="27"/>
    </x:row>
    <x:row r="4">
      <x:c r="A4" s="31" t="s">
        <x:v>916</x:v>
      </x:c>
      <x:c r="B4" s="31" t="s">
        <x:v>917</x:v>
      </x:c>
      <x:c r="C4" s="4"/>
      <x:c r="D4" s="31" t="s">
        <x:v>8</x:v>
      </x:c>
      <x:c r="E4" s="31" t="s">
        <x:v>918</x:v>
      </x:c>
      <x:c r="F4" s="4"/>
    </x:row>
    <x:row r="5">
      <x:c r="A5" s="6" t="s">
        <x:v>919</x:v>
      </x:c>
      <x:c r="B5" s="8" t="n">
        <x:f>COUNTA('Master Tasks'!A5:A141)</x:f>
        <x:v>137</x:v>
      </x:c>
      <x:c r="C5" s="6"/>
      <x:c r="D5" s="6" t="s">
        <x:v>24</x:v>
      </x:c>
      <x:c r="E5" s="8" t="n">
        <x:f>COUNTIF('Master Tasks'!H5:H141,"P0")</x:f>
        <x:v>61</x:v>
      </x:c>
      <x:c r="F5" s="6"/>
    </x:row>
    <x:row r="6">
      <x:c r="A6" s="6" t="s">
        <x:v>55</x:v>
      </x:c>
      <x:c r="B6" s="8" t="n">
        <x:f>COUNTIF('Master Tasks'!L5:L141,"Backlog")</x:f>
        <x:v>115</x:v>
      </x:c>
      <x:c r="C6" s="6"/>
      <x:c r="D6" s="6" t="s">
        <x:v>72</x:v>
      </x:c>
      <x:c r="E6" s="8" t="n">
        <x:f>COUNTIF('Master Tasks'!H5:H141,"P1")</x:f>
        <x:v>70</x:v>
      </x:c>
      <x:c r="F6" s="6"/>
    </x:row>
    <x:row r="7">
      <x:c r="A7" s="6" t="s">
        <x:v>920</x:v>
      </x:c>
      <x:c r="B7" s="8" t="n">
        <x:f>COUNTIF('Master Tasks'!L5:L141,"In Progress")</x:f>
        <x:v>0</x:v>
      </x:c>
      <x:c r="C7" s="6"/>
      <x:c r="D7" s="6" t="s">
        <x:v>329</x:v>
      </x:c>
      <x:c r="E7" s="8" t="n">
        <x:f>COUNTIF('Master Tasks'!H5:H141,"P2")</x:f>
        <x:v>6</x:v>
      </x:c>
      <x:c r="F7" s="6"/>
    </x:row>
    <x:row r="8">
      <x:c r="A8" s="6" t="s">
        <x:v>921</x:v>
      </x:c>
      <x:c r="B8" s="8" t="n">
        <x:f>COUNTIF('Master Tasks'!L5:L141,"Review")</x:f>
        <x:v>0</x:v>
      </x:c>
      <x:c r="C8" s="6"/>
      <x:c r="D8" s="6" t="s">
        <x:v>45</x:v>
      </x:c>
      <x:c r="E8" s="8" t="n">
        <x:f>COUNTIF('Master Tasks'!L5:L141,"Blocked")</x:f>
        <x:v>1</x:v>
      </x:c>
      <x:c r="F8" s="6"/>
    </x:row>
    <x:row r="9">
      <x:c r="A9" s="6" t="s">
        <x:v>27</x:v>
      </x:c>
      <x:c r="B9" s="8" t="n">
        <x:f>COUNTIF('Master Tasks'!L5:L141,"Done")</x:f>
        <x:v>21</x:v>
      </x:c>
      <x:c r="C9" s="6"/>
      <x:c r="D9" s="6" t="s">
        <x:v>922</x:v>
      </x:c>
      <x:c r="E9" s="8" t="n">
        <x:f>COUNTIF('Master Tasks'!L5:L141,"Ready")</x:f>
        <x:v>0</x:v>
      </x:c>
      <x:c r="F9" s="6"/>
    </x:row>
    <x:row r="10">
      <x:c r="A10" s="6"/>
      <x:c r="B10" s="6"/>
      <x:c r="C10" s="6"/>
      <x:c r="D10" s="6"/>
      <x:c r="E10" s="6"/>
      <x:c r="F10" s="6"/>
    </x:row>
    <x:row r="11">
      <x:c r="A11" s="34" t="s">
        <x:v>9</x:v>
      </x:c>
      <x:c r="B11" s="34" t="s">
        <x:v>923</x:v>
      </x:c>
      <x:c r="C11" s="6"/>
      <x:c r="D11" s="34" t="s">
        <x:v>2</x:v>
      </x:c>
      <x:c r="E11" s="34" t="s">
        <x:v>923</x:v>
      </x:c>
      <x:c r="F11" s="6"/>
    </x:row>
    <x:row r="12">
      <x:c r="A12" s="6" t="s">
        <x:v>25</x:v>
      </x:c>
      <x:c r="B12" s="6" t="n">
        <x:f>COUNTIF('Master Tasks'!I5:I141,A12)</x:f>
        <x:v>29</x:v>
      </x:c>
      <x:c r="C12" s="6"/>
      <x:c r="D12" s="6" t="s">
        <x:v>18</x:v>
      </x:c>
      <x:c r="E12" s="6" t="n">
        <x:f>COUNTIF('Master Tasks'!B5:B141,D12)</x:f>
        <x:v>9</x:v>
      </x:c>
      <x:c r="F12" s="6"/>
    </x:row>
    <x:row r="13">
      <x:c r="A13" s="6" t="s">
        <x:v>185</x:v>
      </x:c>
      <x:c r="B13" s="6" t="n">
        <x:f>COUNTIF('Master Tasks'!I5:I141,A13)</x:f>
        <x:v>46</x:v>
      </x:c>
      <x:c r="C13" s="6"/>
      <x:c r="D13" s="6" t="s">
        <x:v>91</x:v>
      </x:c>
      <x:c r="E13" s="6" t="n">
        <x:f>COUNTIF('Master Tasks'!B5:B141,D13)</x:f>
        <x:v>8</x:v>
      </x:c>
      <x:c r="F13" s="6"/>
    </x:row>
    <x:row r="14">
      <x:c r="A14" s="6" t="s">
        <x:v>311</x:v>
      </x:c>
      <x:c r="B14" s="6" t="n">
        <x:f>COUNTIF('Master Tasks'!I5:I141,A14)</x:f>
        <x:v>49</x:v>
      </x:c>
      <x:c r="C14" s="6"/>
      <x:c r="D14" s="6" t="s">
        <x:v>141</x:v>
      </x:c>
      <x:c r="E14" s="6" t="n">
        <x:f>COUNTIF('Master Tasks'!B5:B141,D14)</x:f>
        <x:v>46</x:v>
      </x:c>
      <x:c r="F14" s="6"/>
    </x:row>
    <x:row r="15">
      <x:c r="A15" s="6" t="s">
        <x:v>330</x:v>
      </x:c>
      <x:c r="B15" s="6" t="n">
        <x:f>COUNTIF('Master Tasks'!I5:I141,A15)</x:f>
        <x:v>12</x:v>
      </x:c>
      <x:c r="C15" s="6"/>
      <x:c r="D15" s="6" t="s">
        <x:v>335</x:v>
      </x:c>
      <x:c r="E15" s="6" t="n">
        <x:f>COUNTIF('Master Tasks'!B5:B141,D15)</x:f>
        <x:v>33</x:v>
      </x:c>
      <x:c r="F15" s="6"/>
    </x:row>
    <x:row r="16">
      <x:c r="A16" s="6" t="s">
        <x:v>875</x:v>
      </x:c>
      <x:c r="B16" s="6" t="n">
        <x:f>COUNTIF('Master Tasks'!I5:I141,A16)</x:f>
        <x:v>1</x:v>
      </x:c>
      <x:c r="C16" s="6"/>
      <x:c r="D16" s="6" t="s">
        <x:v>254</x:v>
      </x:c>
      <x:c r="E16" s="6" t="n">
        <x:f>COUNTIF('Master Tasks'!B5:B141,D16)</x:f>
        <x:v>9</x:v>
      </x:c>
      <x:c r="F16" s="6"/>
    </x:row>
    <x:row r="17">
      <x:c r="A17" s="6" t="s">
        <x:v>924</x:v>
      </x:c>
      <x:c r="B17" s="6" t="n">
        <x:f>COUNTIF('Master Tasks'!I5:I141,A17)</x:f>
        <x:v>0</x:v>
      </x:c>
      <x:c r="C17" s="6"/>
      <x:c r="D17" s="6" t="s">
        <x:v>124</x:v>
      </x:c>
      <x:c r="E17" s="6" t="n">
        <x:f>COUNTIF('Master Tasks'!B5:B141,D17)</x:f>
        <x:v>10</x:v>
      </x:c>
      <x:c r="F17" s="6"/>
    </x:row>
    <x:row r="18">
      <x:c r="A18" s="6"/>
      <x:c r="B18" s="6"/>
      <x:c r="C18" s="6"/>
      <x:c r="D18" s="6" t="s">
        <x:v>212</x:v>
      </x:c>
      <x:c r="E18" s="6" t="n">
        <x:f>COUNTIF('Master Tasks'!B5:B141,D18)</x:f>
        <x:v>5</x:v>
      </x:c>
      <x:c r="F18" s="6"/>
    </x:row>
    <x:row r="19">
      <x:c r="A19" s="6"/>
      <x:c r="B19" s="6"/>
      <x:c r="C19" s="6"/>
      <x:c r="D19" s="6" t="s">
        <x:v>775</x:v>
      </x:c>
      <x:c r="E19" s="6" t="n">
        <x:f>COUNTIF('Master Tasks'!B5:B141,D19)</x:f>
        <x:v>4</x:v>
      </x:c>
      <x:c r="F19" s="6"/>
    </x:row>
    <x:row r="20">
      <x:c r="A20" s="6"/>
      <x:c r="B20" s="6"/>
      <x:c r="C20" s="6"/>
      <x:c r="D20" s="6" t="s">
        <x:v>809</x:v>
      </x:c>
      <x:c r="E20" s="6" t="n">
        <x:f>COUNTIF('Master Tasks'!B5:B141,D20)</x:f>
        <x:v>4</x:v>
      </x:c>
      <x:c r="F20" s="6"/>
    </x:row>
    <x:row r="21">
      <x:c r="A21" s="6"/>
      <x:c r="B21" s="6"/>
      <x:c r="C21" s="6"/>
      <x:c r="D21" s="6" t="s">
        <x:v>842</x:v>
      </x:c>
      <x:c r="E21" s="6" t="n">
        <x:f>COUNTIF('Master Tasks'!B5:B141,D21)</x:f>
        <x:v>3</x:v>
      </x:c>
      <x:c r="F21" s="6"/>
    </x:row>
    <x:row r="22">
      <x:c r="A22" s="6"/>
      <x:c r="B22" s="6"/>
      <x:c r="C22" s="6"/>
      <x:c r="D22" s="6" t="s">
        <x:v>860</x:v>
      </x:c>
      <x:c r="E22" s="6" t="n">
        <x:f>COUNTIF('Master Tasks'!B5:B141,D22)</x:f>
        <x:v>1</x:v>
      </x:c>
      <x:c r="F22" s="6"/>
    </x:row>
    <x:row r="23">
      <x:c r="A23" s="6"/>
      <x:c r="B23" s="6"/>
      <x:c r="C23" s="6"/>
      <x:c r="D23" s="6" t="s">
        <x:v>880</x:v>
      </x:c>
      <x:c r="E23" s="6" t="n">
        <x:f>COUNTIF('Master Tasks'!B5:B141,D23)</x:f>
        <x:v>5</x:v>
      </x:c>
      <x:c r="F23" s="6"/>
    </x:row>
    <x:row r="24">
      <x:c r="A24" s="6"/>
      <x:c r="B24" s="6"/>
      <x:c r="C24" s="6"/>
      <x:c r="D24" s="6"/>
      <x:c r="E24" s="6"/>
      <x:c r="F24" s="6"/>
    </x:row>
    <x:row r="25">
      <x:c r="A25" s="34" t="s">
        <x:v>925</x:v>
      </x:c>
      <x:c r="B25" s="34" t="s">
        <x:v>926</x:v>
      </x:c>
      <x:c r="C25" s="34" t="s">
        <x:v>927</x:v>
      </x:c>
      <x:c r="D25" s="34" t="s">
        <x:v>928</x:v>
      </x:c>
      <x:c r="E25" s="17"/>
      <x:c r="F25" s="6"/>
    </x:row>
    <x:row r="26" ht="54" customHeight="1">
      <x:c r="A26" s="17">
        <x:v>1.0</x:v>
      </x:c>
      <x:c r="B26" s="17" t="s">
        <x:v>929</x:v>
      </x:c>
      <x:c r="C26" s="17" t="s">
        <x:v>930</x:v>
      </x:c>
      <x:c r="D26" s="17" t="s">
        <x:v>931</x:v>
      </x:c>
      <x:c r="E26" s="17"/>
      <x:c r="F26" s="6"/>
    </x:row>
    <x:row r="27" ht="54" customHeight="1">
      <x:c r="A27" s="17">
        <x:v>2.0</x:v>
      </x:c>
      <x:c r="B27" s="17" t="s">
        <x:v>932</x:v>
      </x:c>
      <x:c r="C27" s="17" t="s">
        <x:v>933</x:v>
      </x:c>
      <x:c r="D27" s="17" t="s">
        <x:v>934</x:v>
      </x:c>
      <x:c r="E27" s="17"/>
      <x:c r="F27" s="6"/>
    </x:row>
    <x:row r="28" ht="54" customHeight="1">
      <x:c r="A28" s="17">
        <x:v>3.0</x:v>
      </x:c>
      <x:c r="B28" s="17" t="s">
        <x:v>935</x:v>
      </x:c>
      <x:c r="C28" s="17" t="s">
        <x:v>936</x:v>
      </x:c>
      <x:c r="D28" s="17" t="s">
        <x:v>937</x:v>
      </x:c>
      <x:c r="E28" s="17"/>
      <x:c r="F28" s="6"/>
    </x:row>
    <x:row r="29" ht="54" customHeight="1">
      <x:c r="A29" s="17">
        <x:v>4.0</x:v>
      </x:c>
      <x:c r="B29" s="17" t="s">
        <x:v>938</x:v>
      </x:c>
      <x:c r="C29" s="17" t="s">
        <x:v>939</x:v>
      </x:c>
      <x:c r="D29" s="17" t="s">
        <x:v>940</x:v>
      </x:c>
      <x:c r="E29" s="17"/>
      <x:c r="F29" s="6"/>
    </x:row>
    <x:row r="30" ht="54" customHeight="1">
      <x:c r="A30" s="17">
        <x:v>5.0</x:v>
      </x:c>
      <x:c r="B30" s="17" t="s">
        <x:v>941</x:v>
      </x:c>
      <x:c r="C30" s="17" t="s">
        <x:v>942</x:v>
      </x:c>
      <x:c r="D30" s="17" t="s">
        <x:v>943</x:v>
      </x:c>
      <x:c r="E30" s="17"/>
      <x:c r="F30" s="6"/>
    </x:row>
    <x:row r="31" ht="54" customHeight="1">
      <x:c r="A31" s="17">
        <x:v>6.0</x:v>
      </x:c>
      <x:c r="B31" s="17" t="s">
        <x:v>944</x:v>
      </x:c>
      <x:c r="C31" s="17" t="s">
        <x:v>945</x:v>
      </x:c>
      <x:c r="D31" s="17" t="s">
        <x:v>946</x:v>
      </x:c>
      <x:c r="E31" s="17"/>
      <x:c r="F31" s="6"/>
    </x:row>
    <x:row r="32" ht="54" customHeight="1">
      <x:c r="A32" s="17">
        <x:v>7.0</x:v>
      </x:c>
      <x:c r="B32" s="17" t="s">
        <x:v>947</x:v>
      </x:c>
      <x:c r="C32" s="17" t="s">
        <x:v>948</x:v>
      </x:c>
      <x:c r="D32" s="17" t="s">
        <x:v>949</x:v>
      </x:c>
      <x:c r="E32" s="17"/>
      <x:c r="F32" s="6"/>
    </x:row>
    <x:row r="34">
      <x:c r="A34" s="52" t="str">
        <x:v>Website Architecture &amp; CMS Scope</x:v>
      </x:c>
      <x:c r="B34" s="53"/>
      <x:c r="C34" s="53"/>
      <x:c r="D34" s="53"/>
      <x:c r="E34" s="54"/>
    </x:row>
    <x:row r="35">
      <x:c r="A35" s="55" t="str">
        <x:v>Metric</x:v>
      </x:c>
      <x:c r="B35" s="56" t="str">
        <x:v>Value</x:v>
      </x:c>
      <x:c r="C35" s="56"/>
      <x:c r="D35" s="56" t="str">
        <x:v>Metric</x:v>
      </x:c>
      <x:c r="E35" s="57" t="str">
        <x:v>Value</x:v>
      </x:c>
    </x:row>
    <x:row r="36">
      <x:c r="A36" s="58" t="str">
        <x:v>Website page families</x:v>
      </x:c>
      <x:c r="B36" s="59" t="n">
        <x:f>COUNTA('Website Pages'!A5:A500)</x:f>
        <x:v>119</x:v>
      </x:c>
      <x:c r="C36" s="59"/>
      <x:c r="D36" s="59" t="str">
        <x:v>CMS/Admin capabilities</x:v>
      </x:c>
      <x:c r="E36" s="60" t="n">
        <x:f>COUNTA('CMS Admin'!A5:A200)</x:f>
        <x:v>30</x:v>
      </x:c>
    </x:row>
    <x:row r="37">
      <x:c r="A37" s="58" t="str">
        <x:v>P0 website pages</x:v>
      </x:c>
      <x:c r="B37" s="59" t="n">
        <x:f>COUNTIF('Website Pages'!L5:L500,"P0")</x:f>
        <x:v>45</x:v>
      </x:c>
      <x:c r="C37" s="59"/>
      <x:c r="D37" s="59" t="str">
        <x:v>Blog Admin capabilities</x:v>
      </x:c>
      <x:c r="E37" s="60" t="n">
        <x:f>COUNTIF('CMS Admin'!B5:B200,"Blog Admin")</x:f>
        <x:v>5</x:v>
      </x:c>
    </x:row>
    <x:row r="38">
      <x:c r="A38" s="58" t="str">
        <x:v>P1 website pages</x:v>
      </x:c>
      <x:c r="B38" s="59" t="n">
        <x:f>COUNTIF('Website Pages'!L5:L500,"P1")</x:f>
        <x:v>46</x:v>
      </x:c>
      <x:c r="C38" s="59"/>
      <x:c r="D38" s="59" t="str">
        <x:v>Skill Explorer Admin capabilities</x:v>
      </x:c>
      <x:c r="E38" s="60" t="n">
        <x:f>COUNTIF('CMS Admin'!B5:B200,"Skill Explorer Admin")</x:f>
        <x:v>6</x:v>
      </x:c>
    </x:row>
    <x:row r="39">
      <x:c r="A39" s="58" t="str">
        <x:v>Indexable page families</x:v>
      </x:c>
      <x:c r="B39" s="59" t="n">
        <x:f>COUNTIF('Website Pages'!M5:M500,"Index")</x:f>
        <x:v>110</x:v>
      </x:c>
      <x:c r="C39" s="59"/>
      <x:c r="D39" s="59" t="str">
        <x:v>P0 CMS/Admin capabilities</x:v>
      </x:c>
      <x:c r="E39" s="60" t="n">
        <x:f>COUNTIF('CMS Admin'!H5:H200,"P0")</x:f>
        <x:v>17</x:v>
      </x:c>
    </x:row>
    <x:row r="40">
      <x:c r="A40" s="61" t="str">
        <x:v>Pages requiring admin/CMS</x:v>
      </x:c>
      <x:c r="B40" s="62" t="n">
        <x:f>COUNTA('Website Pages'!J5:J500)-COUNTIF('Website Pages'!J5:J500,"None")</x:f>
        <x:v>117</x:v>
      </x:c>
      <x:c r="C40" s="62"/>
      <x:c r="D40" s="62" t="str">
        <x:v>Campaign / Lead / SEO admin</x:v>
      </x:c>
      <x:c r="E40" s="63" t="n">
        <x:f>COUNTIF('CMS Admin'!B5:B200,"Campaign CMS")+COUNTIF('CMS Admin'!B5:B200,"Lead Admin")+COUNTIF('CMS Admin'!B5:B200,"SEO Admin")</x:f>
        <x:v>3</x:v>
      </x:c>
    </x:row>
  </x:sheetData>
  <x:mergeCells>
    <x:mergeCell ref="A1:E1"/>
    <x:mergeCell ref="A2:E2"/>
    <x:mergeCell ref="A34:E34"/>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2" hidden="0" customWidth="1"/>
    <x:col min="3" max="3" width="27" hidden="0" customWidth="1"/>
    <x:col min="4" max="4" width="28" hidden="0" customWidth="1"/>
    <x:col min="5" max="5" width="24" hidden="0" customWidth="1"/>
    <x:col min="6" max="6" width="34" hidden="0" customWidth="1"/>
    <x:col min="7" max="7" width="58" hidden="0" customWidth="1"/>
    <x:col min="8" max="8" width="24" hidden="0" customWidth="1"/>
    <x:col min="9" max="9" width="24" hidden="0" customWidth="1"/>
    <x:col min="10" max="10" width="22" hidden="0" customWidth="1"/>
    <x:col min="11" max="11" width="36" hidden="0" customWidth="1"/>
    <x:col min="12" max="12" width="11" hidden="0" customWidth="1"/>
    <x:col min="13" max="13" width="16" hidden="0" customWidth="1"/>
    <x:col min="14" max="14" width="25" hidden="0" customWidth="1"/>
    <x:col min="15" max="15" width="14" hidden="0" customWidth="1"/>
    <x:col min="16" max="16" width="18" hidden="0" customWidth="1"/>
  </x:cols>
  <x:sheetData>
    <x:row r="1" ht="28" customHeight="1">
      <x:c r="A1" s="39" t="str">
        <x:v>Pathwisse Website Development Sitemap + CTA Plan</x:v>
      </x:c>
      <x:c r="B1" s="39"/>
      <x:c r="C1" s="39"/>
      <x:c r="D1" s="39"/>
      <x:c r="E1" s="39"/>
      <x:c r="F1" s="39"/>
      <x:c r="G1" s="39"/>
      <x:c r="H1" s="39"/>
      <x:c r="I1" s="39"/>
      <x:c r="J1" s="39"/>
      <x:c r="K1" s="39"/>
      <x:c r="L1" s="39"/>
      <x:c r="M1" s="39"/>
      <x:c r="N1" s="39"/>
      <x:c r="O1" s="39"/>
      <x:c r="P1" s="39"/>
    </x:row>
    <x:row r="2" ht="34" customHeight="1">
      <x:c r="A2" s="43" t="str">
        <x:v>119 page families/templates covering Students, Colleges, Enterprise, Platform, Skills, Roadmaps, Jobs, Resources, Trust, conversion, campaigns and utilities. Dynamic routes represent reusable templates rather than one hard-coded page per content item.</x:v>
      </x:c>
      <x:c r="B2" s="43"/>
      <x:c r="C2" s="43"/>
      <x:c r="D2" s="43"/>
      <x:c r="E2" s="43"/>
      <x:c r="F2" s="43"/>
      <x:c r="G2" s="43"/>
      <x:c r="H2" s="43"/>
      <x:c r="I2" s="43"/>
      <x:c r="J2" s="43"/>
      <x:c r="K2" s="43"/>
      <x:c r="L2" s="43"/>
      <x:c r="M2" s="43"/>
      <x:c r="N2" s="43"/>
      <x:c r="O2" s="43"/>
      <x:c r="P2" s="43"/>
    </x:row>
    <x:row r="4" ht="30" customHeight="1">
      <x:c r="A4" s="47" t="str">
        <x:v>Page ID</x:v>
      </x:c>
      <x:c r="B4" s="47" t="str">
        <x:v>Category</x:v>
      </x:c>
      <x:c r="C4" s="47" t="str">
        <x:v>Page / Template</x:v>
      </x:c>
      <x:c r="D4" s="47" t="str">
        <x:v>Route</x:v>
      </x:c>
      <x:c r="E4" s="47" t="str">
        <x:v>Primary Audience</x:v>
      </x:c>
      <x:c r="F4" s="47" t="str">
        <x:v>Purpose / Outcome</x:v>
      </x:c>
      <x:c r="G4" s="47" t="str">
        <x:v>What Needs to Be Developed</x:v>
      </x:c>
      <x:c r="H4" s="47" t="str">
        <x:v>Primary CTA</x:v>
      </x:c>
      <x:c r="I4" s="47" t="str">
        <x:v>Secondary CTA</x:v>
      </x:c>
      <x:c r="J4" s="47" t="str">
        <x:v>Admin / CMS Needed</x:v>
      </x:c>
      <x:c r="K4" s="47" t="str">
        <x:v>What Admin Manages</x:v>
      </x:c>
      <x:c r="L4" s="47" t="str">
        <x:v>Priority</x:v>
      </x:c>
      <x:c r="M4" s="47" t="str">
        <x:v>SEO / Indexing</x:v>
      </x:c>
      <x:c r="N4" s="47" t="str">
        <x:v>Notes</x:v>
      </x:c>
      <x:c r="O4" s="47" t="str">
        <x:v>Status</x:v>
      </x:c>
      <x:c r="P4" s="47" t="str">
        <x:v>Owner</x:v>
      </x:c>
    </x:row>
    <x:row r="5">
      <x:c r="A5" s="48" t="str">
        <x:v>WEB-001</x:v>
      </x:c>
      <x:c r="B5" s="48" t="str">
        <x:v>Core</x:v>
      </x:c>
      <x:c r="C5" s="48" t="str">
        <x:v>Home</x:v>
      </x:c>
      <x:c r="D5" s="48" t="str">
        <x:v>/</x:v>
      </x:c>
      <x:c r="E5" s="48" t="str">
        <x:v>All</x:v>
      </x:c>
      <x:c r="F5" s="48" t="str">
        <x:v>Explain Pathwisse, establish credibility, and route each audience to the right journey.</x:v>
      </x:c>
      <x:c r="G5" s="48" t="str">
        <x:v>Hero with audience-aware value proposition; product overview; Students/Colleges/Enterprise entry cards; product demo visuals; trusted-by logos; outcome metrics; testimonials; featured roadmaps/skills/projects; security/trust strip; final conversion block.</x:v>
      </x:c>
      <x:c r="H5" s="48" t="str">
        <x:v>Get Started</x:v>
      </x:c>
      <x:c r="I5" s="48" t="str">
        <x:v>Book a Demo</x:v>
      </x:c>
      <x:c r="J5" s="48" t="str">
        <x:v>Page CMS</x:v>
      </x:c>
      <x:c r="K5" s="48" t="str">
        <x:v>Homepage sections, proof, featured content, CTA links</x:v>
      </x:c>
      <x:c r="L5" s="48" t="str">
        <x:v>P0</x:v>
      </x:c>
      <x:c r="M5" s="48" t="str">
        <x:v>Index</x:v>
      </x:c>
      <x:c r="N5" s="48" t="str">
        <x:v>Core acquisition page</x:v>
      </x:c>
      <x:c r="O5" s="48" t="str">
        <x:v>Backlog</x:v>
      </x:c>
      <x:c r="P5" s="48" t="str"/>
    </x:row>
    <x:row r="6">
      <x:c r="A6" s="48" t="str">
        <x:v>WEB-002</x:v>
      </x:c>
      <x:c r="B6" s="48" t="str">
        <x:v>Core</x:v>
      </x:c>
      <x:c r="C6" s="48" t="str">
        <x:v>Platform Overview</x:v>
      </x:c>
      <x:c r="D6" s="48" t="str">
        <x:v>/platform</x:v>
      </x:c>
      <x:c r="E6" s="48" t="str">
        <x:v>All</x:v>
      </x:c>
      <x:c r="F6" s="48" t="str">
        <x:v>Give buyers and learners one clear view of the complete Pathwisse platform.</x:v>
      </x:c>
      <x:c r="G6" s="48" t="str">
        <x:v>Platform architecture visual; module cards; end-to-end learner journey; admin/analytics capabilities; integrations; AI capabilities; role-based use cases; customer proof; FAQ.</x:v>
      </x:c>
      <x:c r="H6" s="48" t="str">
        <x:v>Explore the Platform</x:v>
      </x:c>
      <x:c r="I6" s="48" t="str">
        <x:v>Book a Demo</x:v>
      </x:c>
      <x:c r="J6" s="48" t="str">
        <x:v>Page CMS</x:v>
      </x:c>
      <x:c r="K6" s="48" t="str">
        <x:v>Platform modules and section editor</x:v>
      </x:c>
      <x:c r="L6" s="48" t="str">
        <x:v>P0</x:v>
      </x:c>
      <x:c r="M6" s="48" t="str">
        <x:v>Index</x:v>
      </x:c>
      <x:c r="N6" s="48" t="str">
        <x:v>Primary product overview</x:v>
      </x:c>
      <x:c r="O6" s="48" t="str">
        <x:v>Backlog</x:v>
      </x:c>
      <x:c r="P6" s="48" t="str"/>
    </x:row>
    <x:row r="7">
      <x:c r="A7" s="48" t="str">
        <x:v>WEB-003</x:v>
      </x:c>
      <x:c r="B7" s="48" t="str">
        <x:v>Core</x:v>
      </x:c>
      <x:c r="C7" s="48" t="str">
        <x:v>Solutions Overview</x:v>
      </x:c>
      <x:c r="D7" s="48" t="str">
        <x:v>/solutions</x:v>
      </x:c>
      <x:c r="E7" s="48" t="str">
        <x:v>All B2B/B2C audiences</x:v>
      </x:c>
      <x:c r="F7" s="48" t="str">
        <x:v>Route visitors to Students, Colleges, or Enterprise without forcing them through generic messaging.</x:v>
      </x:c>
      <x:c r="G7" s="48" t="str">
        <x:v>Audience cards; problem/outcome summaries; capability comparison; proof by segment; FAQs; persona-specific CTAs.</x:v>
      </x:c>
      <x:c r="H7" s="48" t="str">
        <x:v>Choose Your Solution</x:v>
      </x:c>
      <x:c r="I7" s="48" t="str">
        <x:v>Book a Demo</x:v>
      </x:c>
      <x:c r="J7" s="48" t="str">
        <x:v>Page CMS</x:v>
      </x:c>
      <x:c r="K7" s="48" t="str">
        <x:v>Solution cards and segment copy</x:v>
      </x:c>
      <x:c r="L7" s="48" t="str">
        <x:v>P0</x:v>
      </x:c>
      <x:c r="M7" s="48" t="str">
        <x:v>Index</x:v>
      </x:c>
      <x:c r="N7" s="48" t="str">
        <x:v>Top-level navigation hub</x:v>
      </x:c>
      <x:c r="O7" s="48" t="str">
        <x:v>Backlog</x:v>
      </x:c>
      <x:c r="P7" s="48" t="str"/>
    </x:row>
    <x:row r="8">
      <x:c r="A8" s="48" t="str">
        <x:v>WEB-004</x:v>
      </x:c>
      <x:c r="B8" s="48" t="str">
        <x:v>Solutions - Students</x:v>
      </x:c>
      <x:c r="C8" s="48" t="str">
        <x:v>For Students</x:v>
      </x:c>
      <x:c r="D8" s="48" t="str">
        <x:v>/solutions/students</x:v>
      </x:c>
      <x:c r="E8" s="48" t="str">
        <x:v>Students</x:v>
      </x:c>
      <x:c r="F8" s="48" t="str">
        <x:v>Show the student journey from career confusion to career readiness.</x:v>
      </x:c>
      <x:c r="G8" s="48" t="str">
        <x:v>Career goal capture; discovery; roadmaps; daily practice; projects; CareerVoice; Skill Passport; readiness; jobs; testimonials; pricing preview; FAQs.</x:v>
      </x:c>
      <x:c r="H8" s="48" t="str">
        <x:v>Start Your Career Journey</x:v>
      </x:c>
      <x:c r="I8" s="48" t="str">
        <x:v>Explore Roadmaps</x:v>
      </x:c>
      <x:c r="J8" s="48" t="str">
        <x:v>Page CMS</x:v>
      </x:c>
      <x:c r="K8" s="48" t="str">
        <x:v>Student solution sections</x:v>
      </x:c>
      <x:c r="L8" s="48" t="str">
        <x:v>P0</x:v>
      </x:c>
      <x:c r="M8" s="48" t="str">
        <x:v>Index</x:v>
      </x:c>
      <x:c r="N8" s="48" t="str">
        <x:v>Primary B2C landing</x:v>
      </x:c>
      <x:c r="O8" s="48" t="str">
        <x:v>Backlog</x:v>
      </x:c>
      <x:c r="P8" s="48" t="str"/>
    </x:row>
    <x:row r="9">
      <x:c r="A9" s="48" t="str">
        <x:v>WEB-005</x:v>
      </x:c>
      <x:c r="B9" s="48" t="str">
        <x:v>Solutions - Students</x:v>
      </x:c>
      <x:c r="C9" s="48" t="str">
        <x:v>Career Discovery</x:v>
      </x:c>
      <x:c r="D9" s="48" t="str">
        <x:v>/students/career-discovery</x:v>
      </x:c>
      <x:c r="E9" s="48" t="str">
        <x:v>Students</x:v>
      </x:c>
      <x:c r="F9" s="48" t="str">
        <x:v>Help students understand suitable career directions.</x:v>
      </x:c>
      <x:c r="G9" s="48" t="str">
        <x:v>Discovery explanation; question flow preview; output examples; career recommendations; privacy note; FAQs; handoff into roadmap.</x:v>
      </x:c>
      <x:c r="H9" s="48" t="str">
        <x:v>Start Career Discovery</x:v>
      </x:c>
      <x:c r="I9" s="48" t="str">
        <x:v>Explore Careers</x:v>
      </x:c>
      <x:c r="J9" s="48" t="str">
        <x:v>Page CMS</x:v>
      </x:c>
      <x:c r="K9" s="48" t="str">
        <x:v>Discovery explanation and examples</x:v>
      </x:c>
      <x:c r="L9" s="48" t="str">
        <x:v>P1</x:v>
      </x:c>
      <x:c r="M9" s="48" t="str">
        <x:v>Index</x:v>
      </x:c>
      <x:c r="N9" s="48" t="str">
        <x:v>Marketing page; product flow lives in app</x:v>
      </x:c>
      <x:c r="O9" s="48" t="str">
        <x:v>Backlog</x:v>
      </x:c>
      <x:c r="P9" s="48" t="str"/>
    </x:row>
    <x:row r="10">
      <x:c r="A10" s="48" t="str">
        <x:v>WEB-006</x:v>
      </x:c>
      <x:c r="B10" s="48" t="str">
        <x:v>Solutions - Students</x:v>
      </x:c>
      <x:c r="C10" s="48" t="str">
        <x:v>Skill Development</x:v>
      </x:c>
      <x:c r="D10" s="48" t="str">
        <x:v>/students/skill-development</x:v>
      </x:c>
      <x:c r="E10" s="48" t="str">
        <x:v>Students</x:v>
      </x:c>
      <x:c r="F10" s="48" t="str">
        <x:v>Explain how Pathwisse turns a career goal into structured skill development.</x:v>
      </x:c>
      <x:c r="G10" s="48" t="str">
        <x:v>Skill journey; learning stages; examples; AI assistance; checkpoints; projects; progress tracking; related roadmaps.</x:v>
      </x:c>
      <x:c r="H10" s="48" t="str">
        <x:v>Start Learning</x:v>
      </x:c>
      <x:c r="I10" s="48" t="str">
        <x:v>Explore Skills</x:v>
      </x:c>
      <x:c r="J10" s="48" t="str">
        <x:v>Page CMS</x:v>
      </x:c>
      <x:c r="K10" s="48" t="str">
        <x:v>Skill learning overview</x:v>
      </x:c>
      <x:c r="L10" s="48" t="str">
        <x:v>P1</x:v>
      </x:c>
      <x:c r="M10" s="48" t="str">
        <x:v>Index</x:v>
      </x:c>
      <x:c r="N10" s="48" t="str"/>
      <x:c r="O10" s="48" t="str">
        <x:v>Backlog</x:v>
      </x:c>
      <x:c r="P10" s="48" t="str"/>
    </x:row>
    <x:row r="11">
      <x:c r="A11" s="48" t="str">
        <x:v>WEB-007</x:v>
      </x:c>
      <x:c r="B11" s="48" t="str">
        <x:v>Solutions - Students</x:v>
      </x:c>
      <x:c r="C11" s="48" t="str">
        <x:v>Practice Lab</x:v>
      </x:c>
      <x:c r="D11" s="48" t="str">
        <x:v>/students/practice</x:v>
      </x:c>
      <x:c r="E11" s="48" t="str">
        <x:v>Students</x:v>
      </x:c>
      <x:c r="F11" s="48" t="str">
        <x:v>Explain daily practice and measurable improvement.</x:v>
      </x:c>
      <x:c r="G11" s="48" t="str">
        <x:v>Aptitude; reasoning; English; communication; daily tasks; streaks; history; feedback; progress examples.</x:v>
      </x:c>
      <x:c r="H11" s="48" t="str">
        <x:v>Start Practising</x:v>
      </x:c>
      <x:c r="I11" s="48" t="str">
        <x:v>See How It Works</x:v>
      </x:c>
      <x:c r="J11" s="48" t="str">
        <x:v>Page CMS</x:v>
      </x:c>
      <x:c r="K11" s="48" t="str">
        <x:v>Practice modules</x:v>
      </x:c>
      <x:c r="L11" s="48" t="str">
        <x:v>P1</x:v>
      </x:c>
      <x:c r="M11" s="48" t="str">
        <x:v>Index</x:v>
      </x:c>
      <x:c r="N11" s="48" t="str"/>
      <x:c r="O11" s="48" t="str">
        <x:v>Backlog</x:v>
      </x:c>
      <x:c r="P11" s="48" t="str"/>
    </x:row>
    <x:row r="12">
      <x:c r="A12" s="48" t="str">
        <x:v>WEB-008</x:v>
      </x:c>
      <x:c r="B12" s="48" t="str">
        <x:v>Solutions - Students</x:v>
      </x:c>
      <x:c r="C12" s="48" t="str">
        <x:v>Aptitude Practice</x:v>
      </x:c>
      <x:c r="D12" s="48" t="str">
        <x:v>/students/aptitude</x:v>
      </x:c>
      <x:c r="E12" s="48" t="str">
        <x:v>Students</x:v>
      </x:c>
      <x:c r="F12" s="48" t="str">
        <x:v>Convert aptitude-search traffic into daily practice users.</x:v>
      </x:c>
      <x:c r="G12" s="48" t="str">
        <x:v>Question categories; daily practice flow; difficulty levels; explanations; history; progress; sample questions; FAQs.</x:v>
      </x:c>
      <x:c r="H12" s="48" t="str">
        <x:v>Start Aptitude Practice</x:v>
      </x:c>
      <x:c r="I12" s="48" t="str">
        <x:v>Try Sample Questions</x:v>
      </x:c>
      <x:c r="J12" s="48" t="str">
        <x:v>Page CMS</x:v>
      </x:c>
      <x:c r="K12" s="48" t="str">
        <x:v>Aptitude landing content</x:v>
      </x:c>
      <x:c r="L12" s="48" t="str">
        <x:v>P2</x:v>
      </x:c>
      <x:c r="M12" s="48" t="str">
        <x:v>Index</x:v>
      </x:c>
      <x:c r="N12" s="48" t="str"/>
      <x:c r="O12" s="48" t="str">
        <x:v>Backlog</x:v>
      </x:c>
      <x:c r="P12" s="48" t="str"/>
    </x:row>
    <x:row r="13">
      <x:c r="A13" s="48" t="str">
        <x:v>WEB-009</x:v>
      </x:c>
      <x:c r="B13" s="48" t="str">
        <x:v>Solutions - Students</x:v>
      </x:c>
      <x:c r="C13" s="48" t="str">
        <x:v>Communication Practice</x:v>
      </x:c>
      <x:c r="D13" s="48" t="str">
        <x:v>/students/communication</x:v>
      </x:c>
      <x:c r="E13" s="48" t="str">
        <x:v>Students</x:v>
      </x:c>
      <x:c r="F13" s="48" t="str">
        <x:v>Explain communication and interview speaking practice.</x:v>
      </x:c>
      <x:c r="G13" s="48" t="str">
        <x:v>Self-introduction practice; voice capture; AI feedback; scoring dimensions; practice history; sample feedback.</x:v>
      </x:c>
      <x:c r="H13" s="48" t="str">
        <x:v>Practise Communication</x:v>
      </x:c>
      <x:c r="I13" s="48" t="str">
        <x:v>Try CareerVoice</x:v>
      </x:c>
      <x:c r="J13" s="48" t="str">
        <x:v>Page CMS</x:v>
      </x:c>
      <x:c r="K13" s="48" t="str">
        <x:v>Communication landing content</x:v>
      </x:c>
      <x:c r="L13" s="48" t="str">
        <x:v>P2</x:v>
      </x:c>
      <x:c r="M13" s="48" t="str">
        <x:v>Index</x:v>
      </x:c>
      <x:c r="N13" s="48" t="str"/>
      <x:c r="O13" s="48" t="str">
        <x:v>Backlog</x:v>
      </x:c>
      <x:c r="P13" s="48" t="str"/>
    </x:row>
    <x:row r="14">
      <x:c r="A14" s="48" t="str">
        <x:v>WEB-010</x:v>
      </x:c>
      <x:c r="B14" s="48" t="str">
        <x:v>Solutions - Students</x:v>
      </x:c>
      <x:c r="C14" s="48" t="str">
        <x:v>CareerVoice for Students</x:v>
      </x:c>
      <x:c r="D14" s="48" t="str">
        <x:v>/students/career-voice</x:v>
      </x:c>
      <x:c r="E14" s="48" t="str">
        <x:v>Students</x:v>
      </x:c>
      <x:c r="F14" s="48" t="str">
        <x:v>Position CareerVoice as a voice-driven career audit and communication coach.</x:v>
      </x:c>
      <x:c r="G14" s="48" t="str">
        <x:v>Voice experience preview; career audit; communication evaluation; sample report; privacy; FAQs; product screenshots.</x:v>
      </x:c>
      <x:c r="H14" s="48" t="str">
        <x:v>Start CareerVoice</x:v>
      </x:c>
      <x:c r="I14" s="48" t="str">
        <x:v>View Sample Report</x:v>
      </x:c>
      <x:c r="J14" s="48" t="str">
        <x:v>Page CMS</x:v>
      </x:c>
      <x:c r="K14" s="48" t="str">
        <x:v>CareerVoice student marketing content</x:v>
      </x:c>
      <x:c r="L14" s="48" t="str">
        <x:v>P0</x:v>
      </x:c>
      <x:c r="M14" s="48" t="str">
        <x:v>Index</x:v>
      </x:c>
      <x:c r="N14" s="48" t="str"/>
      <x:c r="O14" s="48" t="str">
        <x:v>Backlog</x:v>
      </x:c>
      <x:c r="P14" s="48" t="str"/>
    </x:row>
    <x:row r="15">
      <x:c r="A15" s="48" t="str">
        <x:v>WEB-011</x:v>
      </x:c>
      <x:c r="B15" s="48" t="str">
        <x:v>Solutions - Students</x:v>
      </x:c>
      <x:c r="C15" s="48" t="str">
        <x:v>Industry Projects for Students</x:v>
      </x:c>
      <x:c r="D15" s="48" t="str">
        <x:v>/students/projects</x:v>
      </x:c>
      <x:c r="E15" s="48" t="str">
        <x:v>Students</x:v>
      </x:c>
      <x:c r="F15" s="48" t="str">
        <x:v>Show how students build evidence of skill through real projects.</x:v>
      </x:c>
      <x:c r="G15" s="48" t="str">
        <x:v>Project categories; difficulty; expected deliverables; mentor/AI review; portfolio outcomes; sample projects; project cards.</x:v>
      </x:c>
      <x:c r="H15" s="48" t="str">
        <x:v>Explore Projects</x:v>
      </x:c>
      <x:c r="I15" s="48" t="str">
        <x:v>Start a Project</x:v>
      </x:c>
      <x:c r="J15" s="48" t="str">
        <x:v>Project CMS</x:v>
      </x:c>
      <x:c r="K15" s="48" t="str">
        <x:v>Featured projects and filters</x:v>
      </x:c>
      <x:c r="L15" s="48" t="str">
        <x:v>P1</x:v>
      </x:c>
      <x:c r="M15" s="48" t="str">
        <x:v>Index</x:v>
      </x:c>
      <x:c r="N15" s="48" t="str"/>
      <x:c r="O15" s="48" t="str">
        <x:v>Backlog</x:v>
      </x:c>
      <x:c r="P15" s="48" t="str"/>
    </x:row>
    <x:row r="16">
      <x:c r="A16" s="48" t="str">
        <x:v>WEB-012</x:v>
      </x:c>
      <x:c r="B16" s="48" t="str">
        <x:v>Solutions - Students</x:v>
      </x:c>
      <x:c r="C16" s="48" t="str">
        <x:v>AI Feedback</x:v>
      </x:c>
      <x:c r="D16" s="48" t="str">
        <x:v>/students/ai-feedback</x:v>
      </x:c>
      <x:c r="E16" s="48" t="str">
        <x:v>Students</x:v>
      </x:c>
      <x:c r="F16" s="48" t="str">
        <x:v>Explain how AI reviews practice and project work.</x:v>
      </x:c>
      <x:c r="G16" s="48" t="str">
        <x:v>Feedback dimensions; sample before/after; review workflow; limitations; human escalation; responsible AI note.</x:v>
      </x:c>
      <x:c r="H16" s="48" t="str">
        <x:v>Get AI Feedback</x:v>
      </x:c>
      <x:c r="I16" s="48" t="str">
        <x:v>See Example Feedback</x:v>
      </x:c>
      <x:c r="J16" s="48" t="str">
        <x:v>Page CMS</x:v>
      </x:c>
      <x:c r="K16" s="48" t="str">
        <x:v>Examples and FAQs</x:v>
      </x:c>
      <x:c r="L16" s="48" t="str">
        <x:v>P2</x:v>
      </x:c>
      <x:c r="M16" s="48" t="str">
        <x:v>Index</x:v>
      </x:c>
      <x:c r="N16" s="48" t="str"/>
      <x:c r="O16" s="48" t="str">
        <x:v>Backlog</x:v>
      </x:c>
      <x:c r="P16" s="48" t="str"/>
    </x:row>
    <x:row r="17">
      <x:c r="A17" s="48" t="str">
        <x:v>WEB-013</x:v>
      </x:c>
      <x:c r="B17" s="48" t="str">
        <x:v>Solutions - Students</x:v>
      </x:c>
      <x:c r="C17" s="48" t="str">
        <x:v>Skill Passport</x:v>
      </x:c>
      <x:c r="D17" s="48" t="str">
        <x:v>/students/skill-passport</x:v>
      </x:c>
      <x:c r="E17" s="48" t="str">
        <x:v>Students</x:v>
      </x:c>
      <x:c r="F17" s="48" t="str">
        <x:v>Explain the portable evidence layer for student skills and work.</x:v>
      </x:c>
      <x:c r="G17" s="48" t="str">
        <x:v>Passport structure; verified skills; projects; readiness evidence; shareable profile; privacy controls; sample passport.</x:v>
      </x:c>
      <x:c r="H17" s="48" t="str">
        <x:v>Build My Skill Passport</x:v>
      </x:c>
      <x:c r="I17" s="48" t="str">
        <x:v>View Sample Passport</x:v>
      </x:c>
      <x:c r="J17" s="48" t="str">
        <x:v>Page CMS</x:v>
      </x:c>
      <x:c r="K17" s="48" t="str">
        <x:v>Skill Passport examples</x:v>
      </x:c>
      <x:c r="L17" s="48" t="str">
        <x:v>P1</x:v>
      </x:c>
      <x:c r="M17" s="48" t="str">
        <x:v>Index</x:v>
      </x:c>
      <x:c r="N17" s="48" t="str"/>
      <x:c r="O17" s="48" t="str">
        <x:v>Backlog</x:v>
      </x:c>
      <x:c r="P17" s="48" t="str"/>
    </x:row>
    <x:row r="18">
      <x:c r="A18" s="48" t="str">
        <x:v>WEB-014</x:v>
      </x:c>
      <x:c r="B18" s="48" t="str">
        <x:v>Solutions - Students</x:v>
      </x:c>
      <x:c r="C18" s="48" t="str">
        <x:v>Career Readiness</x:v>
      </x:c>
      <x:c r="D18" s="48" t="str">
        <x:v>/students/career-readiness</x:v>
      </x:c>
      <x:c r="E18" s="48" t="str">
        <x:v>Students</x:v>
      </x:c>
      <x:c r="F18" s="48" t="str">
        <x:v>Explain readiness scoring and the next actions a student should take.</x:v>
      </x:c>
      <x:c r="G18" s="48" t="str">
        <x:v>Readiness dimensions; sample score; gap analysis; recommended actions; progress over time; job-fit connection.</x:v>
      </x:c>
      <x:c r="H18" s="48" t="str">
        <x:v>Check My Readiness</x:v>
      </x:c>
      <x:c r="I18" s="48" t="str">
        <x:v>View Sample Score</x:v>
      </x:c>
      <x:c r="J18" s="48" t="str">
        <x:v>Page CMS</x:v>
      </x:c>
      <x:c r="K18" s="48" t="str">
        <x:v>Readiness methodology content</x:v>
      </x:c>
      <x:c r="L18" s="48" t="str">
        <x:v>P0</x:v>
      </x:c>
      <x:c r="M18" s="48" t="str">
        <x:v>Index</x:v>
      </x:c>
      <x:c r="N18" s="48" t="str"/>
      <x:c r="O18" s="48" t="str">
        <x:v>Backlog</x:v>
      </x:c>
      <x:c r="P18" s="48" t="str"/>
    </x:row>
    <x:row r="19">
      <x:c r="A19" s="48" t="str">
        <x:v>WEB-015</x:v>
      </x:c>
      <x:c r="B19" s="48" t="str">
        <x:v>Solutions - Students</x:v>
      </x:c>
      <x:c r="C19" s="48" t="str">
        <x:v>Student Success Stories</x:v>
      </x:c>
      <x:c r="D19" s="48" t="str">
        <x:v>/students/success-stories</x:v>
      </x:c>
      <x:c r="E19" s="48" t="str">
        <x:v>Students/Parents</x:v>
      </x:c>
      <x:c r="F19" s="48" t="str">
        <x:v>Provide proof that students are progressing and getting outcomes.</x:v>
      </x:c>
      <x:c r="G19" s="48" t="str">
        <x:v>Filterable stories; college; starting point; Pathwisse activities; measurable result; quote/video; CTA.</x:v>
      </x:c>
      <x:c r="H19" s="48" t="str">
        <x:v>Start Your Journey</x:v>
      </x:c>
      <x:c r="I19" s="48" t="str">
        <x:v>Explore More Stories</x:v>
      </x:c>
      <x:c r="J19" s="48" t="str">
        <x:v>Case Study CMS</x:v>
      </x:c>
      <x:c r="K19" s="48" t="str">
        <x:v>Student story editor</x:v>
      </x:c>
      <x:c r="L19" s="48" t="str">
        <x:v>P1</x:v>
      </x:c>
      <x:c r="M19" s="48" t="str">
        <x:v>Index</x:v>
      </x:c>
      <x:c r="N19" s="48" t="str"/>
      <x:c r="O19" s="48" t="str">
        <x:v>Backlog</x:v>
      </x:c>
      <x:c r="P19" s="48" t="str"/>
    </x:row>
    <x:row r="20">
      <x:c r="A20" s="48" t="str">
        <x:v>WEB-016</x:v>
      </x:c>
      <x:c r="B20" s="48" t="str">
        <x:v>Solutions - Students</x:v>
      </x:c>
      <x:c r="C20" s="48" t="str">
        <x:v>How It Works for Students</x:v>
      </x:c>
      <x:c r="D20" s="48" t="str">
        <x:v>/students/how-it-works</x:v>
      </x:c>
      <x:c r="E20" s="48" t="str">
        <x:v>Students</x:v>
      </x:c>
      <x:c r="F20" s="48" t="str">
        <x:v>Reduce uncertainty around onboarding and daily usage.</x:v>
      </x:c>
      <x:c r="G20" s="48" t="str">
        <x:v>Step-by-step journey; screenshots; expected weekly effort; progress milestones; FAQs; support options.</x:v>
      </x:c>
      <x:c r="H20" s="48" t="str">
        <x:v>Get Started</x:v>
      </x:c>
      <x:c r="I20" s="48" t="str">
        <x:v>Explore a Roadmap</x:v>
      </x:c>
      <x:c r="J20" s="48" t="str">
        <x:v>Page CMS</x:v>
      </x:c>
      <x:c r="K20" s="48" t="str">
        <x:v>Student onboarding steps</x:v>
      </x:c>
      <x:c r="L20" s="48" t="str">
        <x:v>P1</x:v>
      </x:c>
      <x:c r="M20" s="48" t="str">
        <x:v>Index</x:v>
      </x:c>
      <x:c r="N20" s="48" t="str"/>
      <x:c r="O20" s="48" t="str">
        <x:v>Backlog</x:v>
      </x:c>
      <x:c r="P20" s="48" t="str"/>
    </x:row>
    <x:row r="21">
      <x:c r="A21" s="48" t="str">
        <x:v>WEB-017</x:v>
      </x:c>
      <x:c r="B21" s="48" t="str">
        <x:v>Solutions - Colleges</x:v>
      </x:c>
      <x:c r="C21" s="48" t="str">
        <x:v>For Colleges</x:v>
      </x:c>
      <x:c r="D21" s="48" t="str">
        <x:v>/solutions/colleges</x:v>
      </x:c>
      <x:c r="E21" s="48" t="str">
        <x:v>College Management / TPO</x:v>
      </x:c>
      <x:c r="F21" s="48" t="str">
        <x:v>Position Pathwisse as a student success, readiness, and placement intelligence platform.</x:v>
      </x:c>
      <x:c r="G21" s="48" t="str">
        <x:v>College pain points; 30-day activation model; student journey; TPO dashboard; readiness analytics; projects; CareerVoice; reporting; implementation; case studies; FAQs.</x:v>
      </x:c>
      <x:c r="H21" s="48" t="str">
        <x:v>Book a College Demo</x:v>
      </x:c>
      <x:c r="I21" s="48" t="str">
        <x:v>View College Use Cases</x:v>
      </x:c>
      <x:c r="J21" s="48" t="str">
        <x:v>Page CMS</x:v>
      </x:c>
      <x:c r="K21" s="48" t="str">
        <x:v>College solution sections</x:v>
      </x:c>
      <x:c r="L21" s="48" t="str">
        <x:v>P0</x:v>
      </x:c>
      <x:c r="M21" s="48" t="str">
        <x:v>Index</x:v>
      </x:c>
      <x:c r="N21" s="48" t="str">
        <x:v>Primary college landing</x:v>
      </x:c>
      <x:c r="O21" s="48" t="str">
        <x:v>Backlog</x:v>
      </x:c>
      <x:c r="P21" s="48" t="str"/>
    </x:row>
    <x:row r="22">
      <x:c r="A22" s="48" t="str">
        <x:v>WEB-018</x:v>
      </x:c>
      <x:c r="B22" s="48" t="str">
        <x:v>Solutions - Colleges</x:v>
      </x:c>
      <x:c r="C22" s="48" t="str">
        <x:v>For Placement Teams</x:v>
      </x:c>
      <x:c r="D22" s="48" t="str">
        <x:v>/colleges/placement-teams</x:v>
      </x:c>
      <x:c r="E22" s="48" t="str">
        <x:v>TPO / Placement Team</x:v>
      </x:c>
      <x:c r="F22" s="48" t="str">
        <x:v>Show how placement teams identify gaps and act on student readiness.</x:v>
      </x:c>
      <x:c r="G22" s="48" t="str">
        <x:v>Cohort dashboard; readiness distribution; student drill-down; interventions; job-fit insights; reports; workflow examples.</x:v>
      </x:c>
      <x:c r="H22" s="48" t="str">
        <x:v>Book a TPO Demo</x:v>
      </x:c>
      <x:c r="I22" s="48" t="str">
        <x:v>View Sample Dashboard</x:v>
      </x:c>
      <x:c r="J22" s="48" t="str">
        <x:v>Page CMS</x:v>
      </x:c>
      <x:c r="K22" s="48" t="str">
        <x:v>TPO value props and proof</x:v>
      </x:c>
      <x:c r="L22" s="48" t="str">
        <x:v>P0</x:v>
      </x:c>
      <x:c r="M22" s="48" t="str">
        <x:v>Index</x:v>
      </x:c>
      <x:c r="N22" s="48" t="str"/>
      <x:c r="O22" s="48" t="str">
        <x:v>Backlog</x:v>
      </x:c>
      <x:c r="P22" s="48" t="str"/>
    </x:row>
    <x:row r="23">
      <x:c r="A23" s="48" t="str">
        <x:v>WEB-019</x:v>
      </x:c>
      <x:c r="B23" s="48" t="str">
        <x:v>Solutions - Colleges</x:v>
      </x:c>
      <x:c r="C23" s="48" t="str">
        <x:v>For College Management</x:v>
      </x:c>
      <x:c r="D23" s="48" t="str">
        <x:v>/colleges/management</x:v>
      </x:c>
      <x:c r="E23" s="48" t="str">
        <x:v>Principal / Dean / Management</x:v>
      </x:c>
      <x:c r="F23" s="48" t="str">
        <x:v>Connect Pathwisse to institutional outcomes and governance.</x:v>
      </x:c>
      <x:c r="G23" s="48" t="str">
        <x:v>Executive dashboard; adoption; skill/readiness outcomes; department comparisons; reports; implementation model; ROI narrative.</x:v>
      </x:c>
      <x:c r="H23" s="48" t="str">
        <x:v>Talk to Our Team</x:v>
      </x:c>
      <x:c r="I23" s="48" t="str">
        <x:v>View Sample Report</x:v>
      </x:c>
      <x:c r="J23" s="48" t="str">
        <x:v>Page CMS</x:v>
      </x:c>
      <x:c r="K23" s="48" t="str">
        <x:v>Management messaging and reports</x:v>
      </x:c>
      <x:c r="L23" s="48" t="str">
        <x:v>P1</x:v>
      </x:c>
      <x:c r="M23" s="48" t="str">
        <x:v>Index</x:v>
      </x:c>
      <x:c r="N23" s="48" t="str"/>
      <x:c r="O23" s="48" t="str">
        <x:v>Backlog</x:v>
      </x:c>
      <x:c r="P23" s="48" t="str"/>
    </x:row>
    <x:row r="24">
      <x:c r="A24" s="48" t="str">
        <x:v>WEB-020</x:v>
      </x:c>
      <x:c r="B24" s="48" t="str">
        <x:v>Solutions - Colleges</x:v>
      </x:c>
      <x:c r="C24" s="48" t="str">
        <x:v>For Faculty &amp; Mentors</x:v>
      </x:c>
      <x:c r="D24" s="48" t="str">
        <x:v>/colleges/faculty</x:v>
      </x:c>
      <x:c r="E24" s="48" t="str">
        <x:v>Faculty / Mentors</x:v>
      </x:c>
      <x:c r="F24" s="48" t="str">
        <x:v>Show how faculty can guide student development without additional administrative burden.</x:v>
      </x:c>
      <x:c r="G24" s="48" t="str">
        <x:v>Mentor view; cohort signals; student progress; intervention list; project review; communication workflow.</x:v>
      </x:c>
      <x:c r="H24" s="48" t="str">
        <x:v>See Faculty Workflow</x:v>
      </x:c>
      <x:c r="I24" s="48" t="str">
        <x:v>Book a Demo</x:v>
      </x:c>
      <x:c r="J24" s="48" t="str">
        <x:v>Page CMS</x:v>
      </x:c>
      <x:c r="K24" s="48" t="str">
        <x:v>Faculty use cases</x:v>
      </x:c>
      <x:c r="L24" s="48" t="str">
        <x:v>P2</x:v>
      </x:c>
      <x:c r="M24" s="48" t="str">
        <x:v>Index</x:v>
      </x:c>
      <x:c r="N24" s="48" t="str"/>
      <x:c r="O24" s="48" t="str">
        <x:v>Backlog</x:v>
      </x:c>
      <x:c r="P24" s="48" t="str"/>
    </x:row>
    <x:row r="25">
      <x:c r="A25" s="48" t="str">
        <x:v>WEB-021</x:v>
      </x:c>
      <x:c r="B25" s="48" t="str">
        <x:v>Solutions - Colleges</x:v>
      </x:c>
      <x:c r="C25" s="48" t="str">
        <x:v>Student Readiness Platform</x:v>
      </x:c>
      <x:c r="D25" s="48" t="str">
        <x:v>/colleges/student-readiness</x:v>
      </x:c>
      <x:c r="E25" s="48" t="str">
        <x:v>College Management / TPO</x:v>
      </x:c>
      <x:c r="F25" s="48" t="str">
        <x:v>Explain the institutional readiness system.</x:v>
      </x:c>
      <x:c r="G25" s="48" t="str">
        <x:v>Readiness framework; data inputs; dashboards; cohort trends; interventions; reporting; sample output.</x:v>
      </x:c>
      <x:c r="H25" s="48" t="str">
        <x:v>Assess Student Readiness</x:v>
      </x:c>
      <x:c r="I25" s="48" t="str">
        <x:v>Book a Demo</x:v>
      </x:c>
      <x:c r="J25" s="48" t="str">
        <x:v>Page CMS</x:v>
      </x:c>
      <x:c r="K25" s="48" t="str">
        <x:v>Readiness institutional content</x:v>
      </x:c>
      <x:c r="L25" s="48" t="str">
        <x:v>P0</x:v>
      </x:c>
      <x:c r="M25" s="48" t="str">
        <x:v>Index</x:v>
      </x:c>
      <x:c r="N25" s="48" t="str"/>
      <x:c r="O25" s="48" t="str">
        <x:v>Backlog</x:v>
      </x:c>
      <x:c r="P25" s="48" t="str"/>
    </x:row>
    <x:row r="26">
      <x:c r="A26" s="48" t="str">
        <x:v>WEB-022</x:v>
      </x:c>
      <x:c r="B26" s="48" t="str">
        <x:v>Solutions - Colleges</x:v>
      </x:c>
      <x:c r="C26" s="48" t="str">
        <x:v>Placement Readiness</x:v>
      </x:c>
      <x:c r="D26" s="48" t="str">
        <x:v>/colleges/placement-readiness</x:v>
      </x:c>
      <x:c r="E26" s="48" t="str">
        <x:v>TPO</x:v>
      </x:c>
      <x:c r="F26" s="48" t="str">
        <x:v>Show placement preparation capabilities tied to measurable readiness.</x:v>
      </x:c>
      <x:c r="G26" s="48" t="str">
        <x:v>Aptitude; communication; projects; role readiness; company/job fit; cohort analytics; reports.</x:v>
      </x:c>
      <x:c r="H26" s="48" t="str">
        <x:v>Improve Placement Readiness</x:v>
      </x:c>
      <x:c r="I26" s="48" t="str">
        <x:v>View the Platform</x:v>
      </x:c>
      <x:c r="J26" s="48" t="str">
        <x:v>Page CMS</x:v>
      </x:c>
      <x:c r="K26" s="48" t="str">
        <x:v>Placement readiness content</x:v>
      </x:c>
      <x:c r="L26" s="48" t="str">
        <x:v>P1</x:v>
      </x:c>
      <x:c r="M26" s="48" t="str">
        <x:v>Index</x:v>
      </x:c>
      <x:c r="N26" s="48" t="str"/>
      <x:c r="O26" s="48" t="str">
        <x:v>Backlog</x:v>
      </x:c>
      <x:c r="P26" s="48" t="str"/>
    </x:row>
    <x:row r="27">
      <x:c r="A27" s="48" t="str">
        <x:v>WEB-023</x:v>
      </x:c>
      <x:c r="B27" s="48" t="str">
        <x:v>Solutions - Colleges</x:v>
      </x:c>
      <x:c r="C27" s="48" t="str">
        <x:v>Skill Gap Analysis</x:v>
      </x:c>
      <x:c r="D27" s="48" t="str">
        <x:v>/colleges/skill-gap-analysis</x:v>
      </x:c>
      <x:c r="E27" s="48" t="str">
        <x:v>TPO / Faculty</x:v>
      </x:c>
      <x:c r="F27" s="48" t="str">
        <x:v>Explain how skill gaps are detected at student and cohort level.</x:v>
      </x:c>
      <x:c r="G27" s="48" t="str">
        <x:v>Gap framework; skill heatmap; filters; department comparison; recommended learning; reporting; sample heatmap.</x:v>
      </x:c>
      <x:c r="H27" s="48" t="str">
        <x:v>View Skill Gap Analysis</x:v>
      </x:c>
      <x:c r="I27" s="48" t="str">
        <x:v>Book a Demo</x:v>
      </x:c>
      <x:c r="J27" s="48" t="str">
        <x:v>Page CMS</x:v>
      </x:c>
      <x:c r="K27" s="48" t="str">
        <x:v>Skill-gap examples</x:v>
      </x:c>
      <x:c r="L27" s="48" t="str">
        <x:v>P1</x:v>
      </x:c>
      <x:c r="M27" s="48" t="str">
        <x:v>Index</x:v>
      </x:c>
      <x:c r="N27" s="48" t="str"/>
      <x:c r="O27" s="48" t="str">
        <x:v>Backlog</x:v>
      </x:c>
      <x:c r="P27" s="48" t="str"/>
    </x:row>
    <x:row r="28">
      <x:c r="A28" s="48" t="str">
        <x:v>WEB-024</x:v>
      </x:c>
      <x:c r="B28" s="48" t="str">
        <x:v>Solutions - Colleges</x:v>
      </x:c>
      <x:c r="C28" s="48" t="str">
        <x:v>Student Analytics</x:v>
      </x:c>
      <x:c r="D28" s="48" t="str">
        <x:v>/colleges/student-analytics</x:v>
      </x:c>
      <x:c r="E28" s="48" t="str">
        <x:v>TPO / Management</x:v>
      </x:c>
      <x:c r="F28" s="48" t="str">
        <x:v>Show actionable analytics rather than raw activity metrics.</x:v>
      </x:c>
      <x:c r="G28" s="48" t="str">
        <x:v>Adoption; engagement; readiness; practice; project progress; skill distribution; drill-downs; exports.</x:v>
      </x:c>
      <x:c r="H28" s="48" t="str">
        <x:v>View Analytics</x:v>
      </x:c>
      <x:c r="I28" s="48" t="str">
        <x:v>Book a Demo</x:v>
      </x:c>
      <x:c r="J28" s="48" t="str">
        <x:v>Page CMS</x:v>
      </x:c>
      <x:c r="K28" s="48" t="str">
        <x:v>Analytics screenshots/metrics</x:v>
      </x:c>
      <x:c r="L28" s="48" t="str">
        <x:v>P1</x:v>
      </x:c>
      <x:c r="M28" s="48" t="str">
        <x:v>Index</x:v>
      </x:c>
      <x:c r="N28" s="48" t="str"/>
      <x:c r="O28" s="48" t="str">
        <x:v>Backlog</x:v>
      </x:c>
      <x:c r="P28" s="48" t="str"/>
    </x:row>
    <x:row r="29">
      <x:c r="A29" s="48" t="str">
        <x:v>WEB-025</x:v>
      </x:c>
      <x:c r="B29" s="48" t="str">
        <x:v>Solutions - Colleges</x:v>
      </x:c>
      <x:c r="C29" s="48" t="str">
        <x:v>Cohort Management</x:v>
      </x:c>
      <x:c r="D29" s="48" t="str">
        <x:v>/colleges/cohort-management</x:v>
      </x:c>
      <x:c r="E29" s="48" t="str">
        <x:v>TPO / Admin</x:v>
      </x:c>
      <x:c r="F29" s="48" t="str">
        <x:v>Show how admins create, manage, and monitor student cohorts.</x:v>
      </x:c>
      <x:c r="G29" s="48" t="str">
        <x:v>Cohort creation; imports; invitations; filters; assignment; reminders; status; bulk actions; access controls.</x:v>
      </x:c>
      <x:c r="H29" s="48" t="str">
        <x:v>See Cohort Management</x:v>
      </x:c>
      <x:c r="I29" s="48" t="str">
        <x:v>Book a Demo</x:v>
      </x:c>
      <x:c r="J29" s="48" t="str">
        <x:v>Page CMS</x:v>
      </x:c>
      <x:c r="K29" s="48" t="str">
        <x:v>Cohort capabilities</x:v>
      </x:c>
      <x:c r="L29" s="48" t="str">
        <x:v>P2</x:v>
      </x:c>
      <x:c r="M29" s="48" t="str">
        <x:v>Index</x:v>
      </x:c>
      <x:c r="N29" s="48" t="str"/>
      <x:c r="O29" s="48" t="str">
        <x:v>Backlog</x:v>
      </x:c>
      <x:c r="P29" s="48" t="str"/>
    </x:row>
    <x:row r="30">
      <x:c r="A30" s="48" t="str">
        <x:v>WEB-026</x:v>
      </x:c>
      <x:c r="B30" s="48" t="str">
        <x:v>Solutions - Colleges</x:v>
      </x:c>
      <x:c r="C30" s="48" t="str">
        <x:v>Industry Projects for Colleges</x:v>
      </x:c>
      <x:c r="D30" s="48" t="str">
        <x:v>/colleges/industry-projects</x:v>
      </x:c>
      <x:c r="E30" s="48" t="str">
        <x:v>TPO / Faculty</x:v>
      </x:c>
      <x:c r="F30" s="48" t="str">
        <x:v>Position projects as practical exposure tied to skill evidence.</x:v>
      </x:c>
      <x:c r="G30" s="48" t="str">
        <x:v>Project catalogue; assigning projects; team projects; evaluation; company context; reports; showcase.</x:v>
      </x:c>
      <x:c r="H30" s="48" t="str">
        <x:v>Explore Industry Projects</x:v>
      </x:c>
      <x:c r="I30" s="48" t="str">
        <x:v>Book a Demo</x:v>
      </x:c>
      <x:c r="J30" s="48" t="str">
        <x:v>Project CMS</x:v>
      </x:c>
      <x:c r="K30" s="48" t="str">
        <x:v>College project showcase</x:v>
      </x:c>
      <x:c r="L30" s="48" t="str">
        <x:v>P1</x:v>
      </x:c>
      <x:c r="M30" s="48" t="str">
        <x:v>Index</x:v>
      </x:c>
      <x:c r="N30" s="48" t="str"/>
      <x:c r="O30" s="48" t="str">
        <x:v>Backlog</x:v>
      </x:c>
      <x:c r="P30" s="48" t="str"/>
    </x:row>
    <x:row r="31">
      <x:c r="A31" s="48" t="str">
        <x:v>WEB-027</x:v>
      </x:c>
      <x:c r="B31" s="48" t="str">
        <x:v>Solutions - Colleges</x:v>
      </x:c>
      <x:c r="C31" s="48" t="str">
        <x:v>College Reports</x:v>
      </x:c>
      <x:c r="D31" s="48" t="str">
        <x:v>/colleges/reports</x:v>
      </x:c>
      <x:c r="E31" s="48" t="str">
        <x:v>TPO / Management</x:v>
      </x:c>
      <x:c r="F31" s="48" t="str">
        <x:v>Show the reports colleges can use for reviews and interventions.</x:v>
      </x:c>
      <x:c r="G31" s="48" t="str">
        <x:v>Weekly/monthly reports; cohort reports; readiness reports; project reports; exports; scheduled delivery; sample PDFs/screens.</x:v>
      </x:c>
      <x:c r="H31" s="48" t="str">
        <x:v>View Sample Report</x:v>
      </x:c>
      <x:c r="I31" s="48" t="str">
        <x:v>Book a Demo</x:v>
      </x:c>
      <x:c r="J31" s="48" t="str">
        <x:v>Page CMS</x:v>
      </x:c>
      <x:c r="K31" s="48" t="str">
        <x:v>Report gallery</x:v>
      </x:c>
      <x:c r="L31" s="48" t="str">
        <x:v>P2</x:v>
      </x:c>
      <x:c r="M31" s="48" t="str">
        <x:v>Index</x:v>
      </x:c>
      <x:c r="N31" s="48" t="str"/>
      <x:c r="O31" s="48" t="str">
        <x:v>Backlog</x:v>
      </x:c>
      <x:c r="P31" s="48" t="str"/>
    </x:row>
    <x:row r="32">
      <x:c r="A32" s="48" t="str">
        <x:v>WEB-028</x:v>
      </x:c>
      <x:c r="B32" s="48" t="str">
        <x:v>Solutions - Colleges</x:v>
      </x:c>
      <x:c r="C32" s="48" t="str">
        <x:v>Career Audit</x:v>
      </x:c>
      <x:c r="D32" s="48" t="str">
        <x:v>/colleges/career-audit</x:v>
      </x:c>
      <x:c r="E32" s="48" t="str">
        <x:v>TPO / Students</x:v>
      </x:c>
      <x:c r="F32" s="48" t="str">
        <x:v>Explain campus-scale career audits and resulting action plans.</x:v>
      </x:c>
      <x:c r="G32" s="48" t="str">
        <x:v>Audit workflow; student participation; result structure; TPO aggregate insights; next actions; implementation timeline.</x:v>
      </x:c>
      <x:c r="H32" s="48" t="str">
        <x:v>Run a Career Audit</x:v>
      </x:c>
      <x:c r="I32" s="48" t="str">
        <x:v>View Sample Audit</x:v>
      </x:c>
      <x:c r="J32" s="48" t="str">
        <x:v>Page CMS</x:v>
      </x:c>
      <x:c r="K32" s="48" t="str">
        <x:v>Career audit content</x:v>
      </x:c>
      <x:c r="L32" s="48" t="str">
        <x:v>P0</x:v>
      </x:c>
      <x:c r="M32" s="48" t="str">
        <x:v>Index</x:v>
      </x:c>
      <x:c r="N32" s="48" t="str"/>
      <x:c r="O32" s="48" t="str">
        <x:v>Backlog</x:v>
      </x:c>
      <x:c r="P32" s="48" t="str"/>
    </x:row>
    <x:row r="33">
      <x:c r="A33" s="48" t="str">
        <x:v>WEB-029</x:v>
      </x:c>
      <x:c r="B33" s="48" t="str">
        <x:v>Solutions - Colleges</x:v>
      </x:c>
      <x:c r="C33" s="48" t="str">
        <x:v>CareerVoice for Colleges</x:v>
      </x:c>
      <x:c r="D33" s="48" t="str">
        <x:v>/colleges/career-voice</x:v>
      </x:c>
      <x:c r="E33" s="48" t="str">
        <x:v>TPO / College Management</x:v>
      </x:c>
      <x:c r="F33" s="48" t="str">
        <x:v>Explain shareable voice-based sessions and readiness insights.</x:v>
      </x:c>
      <x:c r="G33" s="48" t="str">
        <x:v>Session link flow; student experience; analytics; communication insights; reports; privacy; deployment.</x:v>
      </x:c>
      <x:c r="H33" s="48" t="str">
        <x:v>Book CareerVoice Demo</x:v>
      </x:c>
      <x:c r="I33" s="48" t="str">
        <x:v>View Sample Results</x:v>
      </x:c>
      <x:c r="J33" s="48" t="str">
        <x:v>Page CMS</x:v>
      </x:c>
      <x:c r="K33" s="48" t="str">
        <x:v>College CareerVoice content</x:v>
      </x:c>
      <x:c r="L33" s="48" t="str">
        <x:v>P0</x:v>
      </x:c>
      <x:c r="M33" s="48" t="str">
        <x:v>Index</x:v>
      </x:c>
      <x:c r="N33" s="48" t="str"/>
      <x:c r="O33" s="48" t="str">
        <x:v>Backlog</x:v>
      </x:c>
      <x:c r="P33" s="48" t="str"/>
    </x:row>
    <x:row r="34">
      <x:c r="A34" s="48" t="str">
        <x:v>WEB-030</x:v>
      </x:c>
      <x:c r="B34" s="48" t="str">
        <x:v>Solutions - Colleges</x:v>
      </x:c>
      <x:c r="C34" s="48" t="str">
        <x:v>30-Day Career Development Program</x:v>
      </x:c>
      <x:c r="D34" s="48" t="str">
        <x:v>/colleges/campus-program</x:v>
      </x:c>
      <x:c r="E34" s="48" t="str">
        <x:v>TPO / Management</x:v>
      </x:c>
      <x:c r="F34" s="48" t="str">
        <x:v>Package Pathwisse into an easy-to-adopt institutional program.</x:v>
      </x:c>
      <x:c r="G34" s="48" t="str">
        <x:v>30-day calendar; activation plan; student tasks; milestones; TPO reporting; champion model; conversion/continuation options.</x:v>
      </x:c>
      <x:c r="H34" s="48" t="str">
        <x:v>Start a 30-Day Program</x:v>
      </x:c>
      <x:c r="I34" s="48" t="str">
        <x:v>Download Program Overview</x:v>
      </x:c>
      <x:c r="J34" s="48" t="str">
        <x:v>Campaign CMS</x:v>
      </x:c>
      <x:c r="K34" s="48" t="str">
        <x:v>Program content and downloadable asset</x:v>
      </x:c>
      <x:c r="L34" s="48" t="str">
        <x:v>P0</x:v>
      </x:c>
      <x:c r="M34" s="48" t="str">
        <x:v>Index</x:v>
      </x:c>
      <x:c r="N34" s="48" t="str">
        <x:v>GTM-critical</x:v>
      </x:c>
      <x:c r="O34" s="48" t="str">
        <x:v>Backlog</x:v>
      </x:c>
      <x:c r="P34" s="48" t="str"/>
    </x:row>
    <x:row r="35">
      <x:c r="A35" s="48" t="str">
        <x:v>WEB-031</x:v>
      </x:c>
      <x:c r="B35" s="48" t="str">
        <x:v>Solutions - Colleges</x:v>
      </x:c>
      <x:c r="C35" s="48" t="str">
        <x:v>College Case Studies</x:v>
      </x:c>
      <x:c r="D35" s="48" t="str">
        <x:v>/colleges/case-studies</x:v>
      </x:c>
      <x:c r="E35" s="48" t="str">
        <x:v>TPO / Management</x:v>
      </x:c>
      <x:c r="F35" s="48" t="str">
        <x:v>Provide institutional proof.</x:v>
      </x:c>
      <x:c r="G35" s="48" t="str">
        <x:v>Filterable college stories; challenge; activation; participation; outcomes; quotes; screenshots; downloadable case study.</x:v>
      </x:c>
      <x:c r="H35" s="48" t="str">
        <x:v>Read Case Studies</x:v>
      </x:c>
      <x:c r="I35" s="48" t="str">
        <x:v>Book a Demo</x:v>
      </x:c>
      <x:c r="J35" s="48" t="str">
        <x:v>Case Study CMS</x:v>
      </x:c>
      <x:c r="K35" s="48" t="str">
        <x:v>College case-study editor</x:v>
      </x:c>
      <x:c r="L35" s="48" t="str">
        <x:v>P1</x:v>
      </x:c>
      <x:c r="M35" s="48" t="str">
        <x:v>Index</x:v>
      </x:c>
      <x:c r="N35" s="48" t="str"/>
      <x:c r="O35" s="48" t="str">
        <x:v>Backlog</x:v>
      </x:c>
      <x:c r="P35" s="48" t="str"/>
    </x:row>
    <x:row r="36">
      <x:c r="A36" s="48" t="str">
        <x:v>WEB-032</x:v>
      </x:c>
      <x:c r="B36" s="48" t="str">
        <x:v>Solutions - Enterprise</x:v>
      </x:c>
      <x:c r="C36" s="48" t="str">
        <x:v>For Enterprise</x:v>
      </x:c>
      <x:c r="D36" s="48" t="str">
        <x:v>/solutions/enterprise</x:v>
      </x:c>
      <x:c r="E36" s="48" t="str">
        <x:v>HR / L&amp;D / Talent Leaders</x:v>
      </x:c>
      <x:c r="F36" s="48" t="str">
        <x:v>Position Pathwisse as an enterprise talent development and workforce readiness platform.</x:v>
      </x:c>
      <x:c r="G36" s="48" t="str">
        <x:v>Enterprise use cases; skill intelligence; assessments; personalized learning; projects; analytics; integrations; security; deployment; case studies; FAQs.</x:v>
      </x:c>
      <x:c r="H36" s="48" t="str">
        <x:v>Book an Enterprise Demo</x:v>
      </x:c>
      <x:c r="I36" s="48" t="str">
        <x:v>Explore Enterprise Platform</x:v>
      </x:c>
      <x:c r="J36" s="48" t="str">
        <x:v>Page CMS</x:v>
      </x:c>
      <x:c r="K36" s="48" t="str">
        <x:v>Enterprise solution sections</x:v>
      </x:c>
      <x:c r="L36" s="48" t="str">
        <x:v>P0</x:v>
      </x:c>
      <x:c r="M36" s="48" t="str">
        <x:v>Index</x:v>
      </x:c>
      <x:c r="N36" s="48" t="str"/>
      <x:c r="O36" s="48" t="str">
        <x:v>Backlog</x:v>
      </x:c>
      <x:c r="P36" s="48" t="str"/>
    </x:row>
    <x:row r="37">
      <x:c r="A37" s="48" t="str">
        <x:v>WEB-033</x:v>
      </x:c>
      <x:c r="B37" s="48" t="str">
        <x:v>Solutions - Enterprise</x:v>
      </x:c>
      <x:c r="C37" s="48" t="str">
        <x:v>Employee Upskilling</x:v>
      </x:c>
      <x:c r="D37" s="48" t="str">
        <x:v>/enterprise/upskilling</x:v>
      </x:c>
      <x:c r="E37" s="48" t="str">
        <x:v>L&amp;D</x:v>
      </x:c>
      <x:c r="F37" s="48" t="str">
        <x:v>Explain targeted upskilling based on role and skill gaps.</x:v>
      </x:c>
      <x:c r="G37" s="48" t="str">
        <x:v>Skill baseline; learning paths; practice; projects; progress; cohort analytics; manager reporting.</x:v>
      </x:c>
      <x:c r="H37" s="48" t="str">
        <x:v>Plan an Upskilling Program</x:v>
      </x:c>
      <x:c r="I37" s="48" t="str">
        <x:v>Book a Demo</x:v>
      </x:c>
      <x:c r="J37" s="48" t="str">
        <x:v>Page CMS</x:v>
      </x:c>
      <x:c r="K37" s="48" t="str">
        <x:v>Upskilling content</x:v>
      </x:c>
      <x:c r="L37" s="48" t="str">
        <x:v>P1</x:v>
      </x:c>
      <x:c r="M37" s="48" t="str">
        <x:v>Index</x:v>
      </x:c>
      <x:c r="N37" s="48" t="str"/>
      <x:c r="O37" s="48" t="str">
        <x:v>Backlog</x:v>
      </x:c>
      <x:c r="P37" s="48" t="str"/>
    </x:row>
    <x:row r="38">
      <x:c r="A38" s="48" t="str">
        <x:v>WEB-034</x:v>
      </x:c>
      <x:c r="B38" s="48" t="str">
        <x:v>Solutions - Enterprise</x:v>
      </x:c>
      <x:c r="C38" s="48" t="str">
        <x:v>Talent Development</x:v>
      </x:c>
      <x:c r="D38" s="48" t="str">
        <x:v>/enterprise/talent-development</x:v>
      </x:c>
      <x:c r="E38" s="48" t="str">
        <x:v>HR / L&amp;D</x:v>
      </x:c>
      <x:c r="F38" s="48" t="str">
        <x:v>Show continuous development workflows.</x:v>
      </x:c>
      <x:c r="G38" s="48" t="str">
        <x:v>Role architecture; skill profiles; learning journeys; assessments; projects; manager insights; mobility outcomes.</x:v>
      </x:c>
      <x:c r="H38" s="48" t="str">
        <x:v>Explore Talent Development</x:v>
      </x:c>
      <x:c r="I38" s="48" t="str">
        <x:v>Talk to Sales</x:v>
      </x:c>
      <x:c r="J38" s="48" t="str">
        <x:v>Page CMS</x:v>
      </x:c>
      <x:c r="K38" s="48" t="str">
        <x:v>Talent development content</x:v>
      </x:c>
      <x:c r="L38" s="48" t="str">
        <x:v>P1</x:v>
      </x:c>
      <x:c r="M38" s="48" t="str">
        <x:v>Index</x:v>
      </x:c>
      <x:c r="N38" s="48" t="str"/>
      <x:c r="O38" s="48" t="str">
        <x:v>Backlog</x:v>
      </x:c>
      <x:c r="P38" s="48" t="str"/>
    </x:row>
    <x:row r="39">
      <x:c r="A39" s="48" t="str">
        <x:v>WEB-035</x:v>
      </x:c>
      <x:c r="B39" s="48" t="str">
        <x:v>Solutions - Enterprise</x:v>
      </x:c>
      <x:c r="C39" s="48" t="str">
        <x:v>Skill Assessment</x:v>
      </x:c>
      <x:c r="D39" s="48" t="str">
        <x:v>/enterprise/skill-assessment</x:v>
      </x:c>
      <x:c r="E39" s="48" t="str">
        <x:v>L&amp;D / Hiring</x:v>
      </x:c>
      <x:c r="F39" s="48" t="str">
        <x:v>Explain skill assessment capabilities.</x:v>
      </x:c>
      <x:c r="G39" s="48" t="str">
        <x:v>Assessment types; role-based assessments; scoring; benchmarking; reporting; integrity controls; sample report.</x:v>
      </x:c>
      <x:c r="H39" s="48" t="str">
        <x:v>Run a Skill Assessment</x:v>
      </x:c>
      <x:c r="I39" s="48" t="str">
        <x:v>View Sample Report</x:v>
      </x:c>
      <x:c r="J39" s="48" t="str">
        <x:v>Page CMS</x:v>
      </x:c>
      <x:c r="K39" s="48" t="str">
        <x:v>Assessment content</x:v>
      </x:c>
      <x:c r="L39" s="48" t="str">
        <x:v>P1</x:v>
      </x:c>
      <x:c r="M39" s="48" t="str">
        <x:v>Index</x:v>
      </x:c>
      <x:c r="N39" s="48" t="str"/>
      <x:c r="O39" s="48" t="str">
        <x:v>Backlog</x:v>
      </x:c>
      <x:c r="P39" s="48" t="str"/>
    </x:row>
    <x:row r="40">
      <x:c r="A40" s="48" t="str">
        <x:v>WEB-036</x:v>
      </x:c>
      <x:c r="B40" s="48" t="str">
        <x:v>Solutions - Enterprise</x:v>
      </x:c>
      <x:c r="C40" s="48" t="str">
        <x:v>Enterprise Skill Gap Analysis</x:v>
      </x:c>
      <x:c r="D40" s="48" t="str">
        <x:v>/enterprise/skill-gap-analysis</x:v>
      </x:c>
      <x:c r="E40" s="48" t="str">
        <x:v>HR / L&amp;D</x:v>
      </x:c>
      <x:c r="F40" s="48" t="str">
        <x:v>Show organization/team/employee-level skill-gap visibility.</x:v>
      </x:c>
      <x:c r="G40" s="48" t="str">
        <x:v>Role-to-skill mapping; heatmaps; cohort comparisons; gap prioritization; recommended interventions; reports.</x:v>
      </x:c>
      <x:c r="H40" s="48" t="str">
        <x:v>Analyse Skill Gaps</x:v>
      </x:c>
      <x:c r="I40" s="48" t="str">
        <x:v>Book a Demo</x:v>
      </x:c>
      <x:c r="J40" s="48" t="str">
        <x:v>Page CMS</x:v>
      </x:c>
      <x:c r="K40" s="48" t="str">
        <x:v>Enterprise skill-gap content</x:v>
      </x:c>
      <x:c r="L40" s="48" t="str">
        <x:v>P1</x:v>
      </x:c>
      <x:c r="M40" s="48" t="str">
        <x:v>Index</x:v>
      </x:c>
      <x:c r="N40" s="48" t="str"/>
      <x:c r="O40" s="48" t="str">
        <x:v>Backlog</x:v>
      </x:c>
      <x:c r="P40" s="48" t="str"/>
    </x:row>
    <x:row r="41">
      <x:c r="A41" s="48" t="str">
        <x:v>WEB-037</x:v>
      </x:c>
      <x:c r="B41" s="48" t="str">
        <x:v>Solutions - Enterprise</x:v>
      </x:c>
      <x:c r="C41" s="48" t="str">
        <x:v>Personalized Learning Paths</x:v>
      </x:c>
      <x:c r="D41" s="48" t="str">
        <x:v>/enterprise/learning-paths</x:v>
      </x:c>
      <x:c r="E41" s="48" t="str">
        <x:v>L&amp;D / Employees</x:v>
      </x:c>
      <x:c r="F41" s="48" t="str">
        <x:v>Explain role-based and gap-based learning paths.</x:v>
      </x:c>
      <x:c r="G41" s="48" t="str">
        <x:v>Role profiles; path generation; approvals; content mapping; milestones; projects; completion signals.</x:v>
      </x:c>
      <x:c r="H41" s="48" t="str">
        <x:v>See Learning Paths</x:v>
      </x:c>
      <x:c r="I41" s="48" t="str">
        <x:v>Talk to Sales</x:v>
      </x:c>
      <x:c r="J41" s="48" t="str">
        <x:v>Page CMS</x:v>
      </x:c>
      <x:c r="K41" s="48" t="str">
        <x:v>Learning path examples</x:v>
      </x:c>
      <x:c r="L41" s="48" t="str">
        <x:v>P1</x:v>
      </x:c>
      <x:c r="M41" s="48" t="str">
        <x:v>Index</x:v>
      </x:c>
      <x:c r="N41" s="48" t="str"/>
      <x:c r="O41" s="48" t="str">
        <x:v>Backlog</x:v>
      </x:c>
      <x:c r="P41" s="48" t="str"/>
    </x:row>
    <x:row r="42">
      <x:c r="A42" s="48" t="str">
        <x:v>WEB-038</x:v>
      </x:c>
      <x:c r="B42" s="48" t="str">
        <x:v>Solutions - Enterprise</x:v>
      </x:c>
      <x:c r="C42" s="48" t="str">
        <x:v>Enterprise Projects</x:v>
      </x:c>
      <x:c r="D42" s="48" t="str">
        <x:v>/enterprise/projects</x:v>
      </x:c>
      <x:c r="E42" s="48" t="str">
        <x:v>L&amp;D / Business Leaders</x:v>
      </x:c>
      <x:c r="F42" s="48" t="str">
        <x:v>Show experiential learning through company-relevant projects.</x:v>
      </x:c>
      <x:c r="G42" s="48" t="str">
        <x:v>Project templates; real business problems; team assignments; evaluation; evidence; manager visibility; project library.</x:v>
      </x:c>
      <x:c r="H42" s="48" t="str">
        <x:v>Explore Enterprise Projects</x:v>
      </x:c>
      <x:c r="I42" s="48" t="str">
        <x:v>Book a Demo</x:v>
      </x:c>
      <x:c r="J42" s="48" t="str">
        <x:v>Project CMS</x:v>
      </x:c>
      <x:c r="K42" s="48" t="str">
        <x:v>Enterprise project catalog</x:v>
      </x:c>
      <x:c r="L42" s="48" t="str">
        <x:v>P1</x:v>
      </x:c>
      <x:c r="M42" s="48" t="str">
        <x:v>Index</x:v>
      </x:c>
      <x:c r="N42" s="48" t="str"/>
      <x:c r="O42" s="48" t="str">
        <x:v>Backlog</x:v>
      </x:c>
      <x:c r="P42" s="48" t="str"/>
    </x:row>
    <x:row r="43">
      <x:c r="A43" s="48" t="str">
        <x:v>WEB-039</x:v>
      </x:c>
      <x:c r="B43" s="48" t="str">
        <x:v>Solutions - Enterprise</x:v>
      </x:c>
      <x:c r="C43" s="48" t="str">
        <x:v>AI Coaching</x:v>
      </x:c>
      <x:c r="D43" s="48" t="str">
        <x:v>/enterprise/ai-coaching</x:v>
      </x:c>
      <x:c r="E43" s="48" t="str">
        <x:v>Employees / L&amp;D</x:v>
      </x:c>
      <x:c r="F43" s="48" t="str">
        <x:v>Explain AI guidance with enterprise governance.</x:v>
      </x:c>
      <x:c r="G43" s="48" t="str">
        <x:v>Coaching workflows; feedback; role context; guardrails; human escalation; data handling; sample interaction.</x:v>
      </x:c>
      <x:c r="H43" s="48" t="str">
        <x:v>See AI Coaching</x:v>
      </x:c>
      <x:c r="I43" s="48" t="str">
        <x:v>Talk to Sales</x:v>
      </x:c>
      <x:c r="J43" s="48" t="str">
        <x:v>Page CMS</x:v>
      </x:c>
      <x:c r="K43" s="48" t="str">
        <x:v>AI coaching content</x:v>
      </x:c>
      <x:c r="L43" s="48" t="str">
        <x:v>P2</x:v>
      </x:c>
      <x:c r="M43" s="48" t="str">
        <x:v>Index</x:v>
      </x:c>
      <x:c r="N43" s="48" t="str"/>
      <x:c r="O43" s="48" t="str">
        <x:v>Backlog</x:v>
      </x:c>
      <x:c r="P43" s="48" t="str"/>
    </x:row>
    <x:row r="44">
      <x:c r="A44" s="48" t="str">
        <x:v>WEB-040</x:v>
      </x:c>
      <x:c r="B44" s="48" t="str">
        <x:v>Solutions - Enterprise</x:v>
      </x:c>
      <x:c r="C44" s="48" t="str">
        <x:v>Workforce Readiness</x:v>
      </x:c>
      <x:c r="D44" s="48" t="str">
        <x:v>/enterprise/workforce-readiness</x:v>
      </x:c>
      <x:c r="E44" s="48" t="str">
        <x:v>HR / Business Leaders</x:v>
      </x:c>
      <x:c r="F44" s="48" t="str">
        <x:v>Connect skills and learning to job/role readiness.</x:v>
      </x:c>
      <x:c r="G44" s="48" t="str">
        <x:v>Readiness dimensions; role benchmarks; gap analysis; team dashboard; talent mobility; sample readiness report.</x:v>
      </x:c>
      <x:c r="H44" s="48" t="str">
        <x:v>Assess Workforce Readiness</x:v>
      </x:c>
      <x:c r="I44" s="48" t="str">
        <x:v>Book a Demo</x:v>
      </x:c>
      <x:c r="J44" s="48" t="str">
        <x:v>Page CMS</x:v>
      </x:c>
      <x:c r="K44" s="48" t="str">
        <x:v>Enterprise readiness content</x:v>
      </x:c>
      <x:c r="L44" s="48" t="str">
        <x:v>P1</x:v>
      </x:c>
      <x:c r="M44" s="48" t="str">
        <x:v>Index</x:v>
      </x:c>
      <x:c r="N44" s="48" t="str"/>
      <x:c r="O44" s="48" t="str">
        <x:v>Backlog</x:v>
      </x:c>
      <x:c r="P44" s="48" t="str"/>
    </x:row>
    <x:row r="45">
      <x:c r="A45" s="48" t="str">
        <x:v>WEB-041</x:v>
      </x:c>
      <x:c r="B45" s="48" t="str">
        <x:v>Solutions - Enterprise</x:v>
      </x:c>
      <x:c r="C45" s="48" t="str">
        <x:v>Enterprise Analytics</x:v>
      </x:c>
      <x:c r="D45" s="48" t="str">
        <x:v>/enterprise/analytics</x:v>
      </x:c>
      <x:c r="E45" s="48" t="str">
        <x:v>HR / L&amp;D / Management</x:v>
      </x:c>
      <x:c r="F45" s="48" t="str">
        <x:v>Show decision-grade analytics for talent programs.</x:v>
      </x:c>
      <x:c r="G45" s="48" t="str">
        <x:v>Adoption; skills; readiness; learning progress; project performance; team comparisons; exports; scheduled reports.</x:v>
      </x:c>
      <x:c r="H45" s="48" t="str">
        <x:v>View Enterprise Analytics</x:v>
      </x:c>
      <x:c r="I45" s="48" t="str">
        <x:v>Book a Demo</x:v>
      </x:c>
      <x:c r="J45" s="48" t="str">
        <x:v>Page CMS</x:v>
      </x:c>
      <x:c r="K45" s="48" t="str">
        <x:v>Analytics gallery</x:v>
      </x:c>
      <x:c r="L45" s="48" t="str">
        <x:v>P1</x:v>
      </x:c>
      <x:c r="M45" s="48" t="str">
        <x:v>Index</x:v>
      </x:c>
      <x:c r="N45" s="48" t="str"/>
      <x:c r="O45" s="48" t="str">
        <x:v>Backlog</x:v>
      </x:c>
      <x:c r="P45" s="48" t="str"/>
    </x:row>
    <x:row r="46">
      <x:c r="A46" s="48" t="str">
        <x:v>WEB-042</x:v>
      </x:c>
      <x:c r="B46" s="48" t="str">
        <x:v>Solutions - Enterprise</x:v>
      </x:c>
      <x:c r="C46" s="48" t="str">
        <x:v>Enterprise Skill Passport</x:v>
      </x:c>
      <x:c r="D46" s="48" t="str">
        <x:v>/enterprise/skill-passport</x:v>
      </x:c>
      <x:c r="E46" s="48" t="str">
        <x:v>Employees / HR</x:v>
      </x:c>
      <x:c r="F46" s="48" t="str">
        <x:v>Explain verified employee skill evidence.</x:v>
      </x:c>
      <x:c r="G46" s="48" t="str">
        <x:v>Skill evidence; assessments; projects; learning history; sharing controls; internal mobility use cases.</x:v>
      </x:c>
      <x:c r="H46" s="48" t="str">
        <x:v>See Skill Passport</x:v>
      </x:c>
      <x:c r="I46" s="48" t="str">
        <x:v>Talk to Sales</x:v>
      </x:c>
      <x:c r="J46" s="48" t="str">
        <x:v>Page CMS</x:v>
      </x:c>
      <x:c r="K46" s="48" t="str">
        <x:v>Enterprise passport content</x:v>
      </x:c>
      <x:c r="L46" s="48" t="str">
        <x:v>P2</x:v>
      </x:c>
      <x:c r="M46" s="48" t="str">
        <x:v>Index</x:v>
      </x:c>
      <x:c r="N46" s="48" t="str"/>
      <x:c r="O46" s="48" t="str">
        <x:v>Backlog</x:v>
      </x:c>
      <x:c r="P46" s="48" t="str"/>
    </x:row>
    <x:row r="47">
      <x:c r="A47" s="48" t="str">
        <x:v>WEB-043</x:v>
      </x:c>
      <x:c r="B47" s="48" t="str">
        <x:v>Solutions - Enterprise</x:v>
      </x:c>
      <x:c r="C47" s="48" t="str">
        <x:v>Enterprise Integrations</x:v>
      </x:c>
      <x:c r="D47" s="48" t="str">
        <x:v>/enterprise/integrations</x:v>
      </x:c>
      <x:c r="E47" s="48" t="str">
        <x:v>IT / HRIS / L&amp;D</x:v>
      </x:c>
      <x:c r="F47" s="48" t="str">
        <x:v>Show how Pathwisse fits existing systems.</x:v>
      </x:c>
      <x:c r="G47" s="48" t="str">
        <x:v>SSO; SAML/OIDC; SCIM; HRMS/LMS/CRM/API integrations; data flow; webhooks; implementation process.</x:v>
      </x:c>
      <x:c r="H47" s="48" t="str">
        <x:v>Discuss an Integration</x:v>
      </x:c>
      <x:c r="I47" s="48" t="str">
        <x:v>View API Docs</x:v>
      </x:c>
      <x:c r="J47" s="48" t="str">
        <x:v>Integration CMS</x:v>
      </x:c>
      <x:c r="K47" s="48" t="str">
        <x:v>Integration catalogue</x:v>
      </x:c>
      <x:c r="L47" s="48" t="str">
        <x:v>P0</x:v>
      </x:c>
      <x:c r="M47" s="48" t="str">
        <x:v>Index</x:v>
      </x:c>
      <x:c r="N47" s="48" t="str"/>
      <x:c r="O47" s="48" t="str">
        <x:v>Backlog</x:v>
      </x:c>
      <x:c r="P47" s="48" t="str"/>
    </x:row>
    <x:row r="48">
      <x:c r="A48" s="48" t="str">
        <x:v>WEB-044</x:v>
      </x:c>
      <x:c r="B48" s="48" t="str">
        <x:v>Solutions - Enterprise</x:v>
      </x:c>
      <x:c r="C48" s="48" t="str">
        <x:v>Enterprise Security</x:v>
      </x:c>
      <x:c r="D48" s="48" t="str">
        <x:v>/enterprise/security</x:v>
      </x:c>
      <x:c r="E48" s="48" t="str">
        <x:v>Security / IT / Procurement</x:v>
      </x:c>
      <x:c r="F48" s="48" t="str">
        <x:v>Answer enterprise security review questions early.</x:v>
      </x:c>
      <x:c r="G48" s="48" t="str">
        <x:v>Encryption; RBAC; MFA; SSO; audit logs; data isolation; backups; incident response; vulnerability management; security contact; trust-center links.</x:v>
      </x:c>
      <x:c r="H48" s="48" t="str">
        <x:v>Visit Trust Center</x:v>
      </x:c>
      <x:c r="I48" s="48" t="str">
        <x:v>Contact Security</x:v>
      </x:c>
      <x:c r="J48" s="48" t="str">
        <x:v>Trust CMS</x:v>
      </x:c>
      <x:c r="K48" s="48" t="str">
        <x:v>Security claims and documents</x:v>
      </x:c>
      <x:c r="L48" s="48" t="str">
        <x:v>P0</x:v>
      </x:c>
      <x:c r="M48" s="48" t="str">
        <x:v>Index</x:v>
      </x:c>
      <x:c r="N48" s="48" t="str"/>
      <x:c r="O48" s="48" t="str">
        <x:v>Backlog</x:v>
      </x:c>
      <x:c r="P48" s="48" t="str"/>
    </x:row>
    <x:row r="49">
      <x:c r="A49" s="48" t="str">
        <x:v>WEB-045</x:v>
      </x:c>
      <x:c r="B49" s="48" t="str">
        <x:v>Platform</x:v>
      </x:c>
      <x:c r="C49" s="48" t="str">
        <x:v>CareerWise</x:v>
      </x:c>
      <x:c r="D49" s="48" t="str">
        <x:v>/platform/careerwise</x:v>
      </x:c>
      <x:c r="E49" s="48" t="str">
        <x:v>Students / Colleges</x:v>
      </x:c>
      <x:c r="F49" s="48" t="str">
        <x:v>Position CareerWise as career discovery and decision support.</x:v>
      </x:c>
      <x:c r="G49" s="48" t="str">
        <x:v>Career discovery; assessments; career recommendations; role intelligence; output examples; journey integration.</x:v>
      </x:c>
      <x:c r="H49" s="48" t="str">
        <x:v>Try CareerWise</x:v>
      </x:c>
      <x:c r="I49" s="48" t="str">
        <x:v>Book a Demo</x:v>
      </x:c>
      <x:c r="J49" s="48" t="str">
        <x:v>Page CMS</x:v>
      </x:c>
      <x:c r="K49" s="48" t="str">
        <x:v>CareerWise product page</x:v>
      </x:c>
      <x:c r="L49" s="48" t="str">
        <x:v>P0</x:v>
      </x:c>
      <x:c r="M49" s="48" t="str">
        <x:v>Index</x:v>
      </x:c>
      <x:c r="N49" s="48" t="str"/>
      <x:c r="O49" s="48" t="str">
        <x:v>Backlog</x:v>
      </x:c>
      <x:c r="P49" s="48" t="str"/>
    </x:row>
    <x:row r="50">
      <x:c r="A50" s="48" t="str">
        <x:v>WEB-046</x:v>
      </x:c>
      <x:c r="B50" s="48" t="str">
        <x:v>Platform</x:v>
      </x:c>
      <x:c r="C50" s="48" t="str">
        <x:v>Career Roadmaps</x:v>
      </x:c>
      <x:c r="D50" s="48" t="str">
        <x:v>/platform/career-roadmaps</x:v>
      </x:c>
      <x:c r="E50" s="48" t="str">
        <x:v>Students / Colleges</x:v>
      </x:c>
      <x:c r="F50" s="48" t="str">
        <x:v>Explain the roadmap engine and progression model.</x:v>
      </x:c>
      <x:c r="G50" s="48" t="str">
        <x:v>Phases → Skills → Stages → Topics visualization; progress; prerequisites; projects; AI assistance; examples.</x:v>
      </x:c>
      <x:c r="H50" s="48" t="str">
        <x:v>Explore Roadmaps</x:v>
      </x:c>
      <x:c r="I50" s="48" t="str">
        <x:v>Start a Roadmap</x:v>
      </x:c>
      <x:c r="J50" s="48" t="str">
        <x:v>Roadmap CMS</x:v>
      </x:c>
      <x:c r="K50" s="48" t="str">
        <x:v>Roadmap overview</x:v>
      </x:c>
      <x:c r="L50" s="48" t="str">
        <x:v>P0</x:v>
      </x:c>
      <x:c r="M50" s="48" t="str">
        <x:v>Index</x:v>
      </x:c>
      <x:c r="N50" s="48" t="str"/>
      <x:c r="O50" s="48" t="str">
        <x:v>Backlog</x:v>
      </x:c>
      <x:c r="P50" s="48" t="str"/>
    </x:row>
    <x:row r="51">
      <x:c r="A51" s="48" t="str">
        <x:v>WEB-047</x:v>
      </x:c>
      <x:c r="B51" s="48" t="str">
        <x:v>Platform</x:v>
      </x:c>
      <x:c r="C51" s="48" t="str">
        <x:v>Practice Lab</x:v>
      </x:c>
      <x:c r="D51" s="48" t="str">
        <x:v>/platform/practice-lab</x:v>
      </x:c>
      <x:c r="E51" s="48" t="str">
        <x:v>Students / Colleges</x:v>
      </x:c>
      <x:c r="F51" s="48" t="str">
        <x:v>Explain daily practice across aptitude and communication.</x:v>
      </x:c>
      <x:c r="G51" s="48" t="str">
        <x:v>Practice areas; daily experience; scoring; explanations; history; streaks; cohort visibility.</x:v>
      </x:c>
      <x:c r="H51" s="48" t="str">
        <x:v>Start Practice</x:v>
      </x:c>
      <x:c r="I51" s="48" t="str">
        <x:v>View Practice Modules</x:v>
      </x:c>
      <x:c r="J51" s="48" t="str">
        <x:v>Page CMS</x:v>
      </x:c>
      <x:c r="K51" s="48" t="str">
        <x:v>Practice Lab product page</x:v>
      </x:c>
      <x:c r="L51" s="48" t="str">
        <x:v>P0</x:v>
      </x:c>
      <x:c r="M51" s="48" t="str">
        <x:v>Index</x:v>
      </x:c>
      <x:c r="N51" s="48" t="str"/>
      <x:c r="O51" s="48" t="str">
        <x:v>Backlog</x:v>
      </x:c>
      <x:c r="P51" s="48" t="str"/>
    </x:row>
    <x:row r="52">
      <x:c r="A52" s="48" t="str">
        <x:v>WEB-048</x:v>
      </x:c>
      <x:c r="B52" s="48" t="str">
        <x:v>Platform</x:v>
      </x:c>
      <x:c r="C52" s="48" t="str">
        <x:v>CareerVoice</x:v>
      </x:c>
      <x:c r="D52" s="48" t="str">
        <x:v>/platform/career-voice</x:v>
      </x:c>
      <x:c r="E52" s="48" t="str">
        <x:v>Students / Colleges</x:v>
      </x:c>
      <x:c r="F52" s="48" t="str">
        <x:v>Position the voice-based career and communication experience.</x:v>
      </x:c>
      <x:c r="G52" s="48" t="str">
        <x:v>Voice flow; career audit; communication feedback; admin share links; analytics; sample report; privacy.</x:v>
      </x:c>
      <x:c r="H52" s="48" t="str">
        <x:v>Try CareerVoice</x:v>
      </x:c>
      <x:c r="I52" s="48" t="str">
        <x:v>Book a Demo</x:v>
      </x:c>
      <x:c r="J52" s="48" t="str">
        <x:v>Page CMS</x:v>
      </x:c>
      <x:c r="K52" s="48" t="str">
        <x:v>CareerVoice product page</x:v>
      </x:c>
      <x:c r="L52" s="48" t="str">
        <x:v>P0</x:v>
      </x:c>
      <x:c r="M52" s="48" t="str">
        <x:v>Index</x:v>
      </x:c>
      <x:c r="N52" s="48" t="str"/>
      <x:c r="O52" s="48" t="str">
        <x:v>Backlog</x:v>
      </x:c>
      <x:c r="P52" s="48" t="str"/>
    </x:row>
    <x:row r="53">
      <x:c r="A53" s="48" t="str">
        <x:v>WEB-049</x:v>
      </x:c>
      <x:c r="B53" s="48" t="str">
        <x:v>Platform</x:v>
      </x:c>
      <x:c r="C53" s="48" t="str">
        <x:v>Enterprise Projects</x:v>
      </x:c>
      <x:c r="D53" s="48" t="str">
        <x:v>/platform/projects</x:v>
      </x:c>
      <x:c r="E53" s="48" t="str">
        <x:v>Students / Colleges / Enterprise</x:v>
      </x:c>
      <x:c r="F53" s="48" t="str">
        <x:v>Explain project-based evidence and evaluation.</x:v>
      </x:c>
      <x:c r="G53" s="48" t="str">
        <x:v>Project types; project lifecycle; submission; AI/human review; scores; skill evidence; admin assignment.</x:v>
      </x:c>
      <x:c r="H53" s="48" t="str">
        <x:v>Explore Projects</x:v>
      </x:c>
      <x:c r="I53" s="48" t="str">
        <x:v>Book a Demo</x:v>
      </x:c>
      <x:c r="J53" s="48" t="str">
        <x:v>Project CMS</x:v>
      </x:c>
      <x:c r="K53" s="48" t="str">
        <x:v>Projects product page</x:v>
      </x:c>
      <x:c r="L53" s="48" t="str">
        <x:v>P0</x:v>
      </x:c>
      <x:c r="M53" s="48" t="str">
        <x:v>Index</x:v>
      </x:c>
      <x:c r="N53" s="48" t="str"/>
      <x:c r="O53" s="48" t="str">
        <x:v>Backlog</x:v>
      </x:c>
      <x:c r="P53" s="48" t="str"/>
    </x:row>
    <x:row r="54">
      <x:c r="A54" s="48" t="str">
        <x:v>WEB-050</x:v>
      </x:c>
      <x:c r="B54" s="48" t="str">
        <x:v>Platform</x:v>
      </x:c>
      <x:c r="C54" s="48" t="str">
        <x:v>Skill Passport</x:v>
      </x:c>
      <x:c r="D54" s="48" t="str">
        <x:v>/platform/skill-passport</x:v>
      </x:c>
      <x:c r="E54" s="48" t="str">
        <x:v>Students / Enterprise</x:v>
      </x:c>
      <x:c r="F54" s="48" t="str">
        <x:v>Explain a consolidated skill evidence profile.</x:v>
      </x:c>
      <x:c r="G54" s="48" t="str">
        <x:v>Skills; projects; assessments; readiness; verification; sharing; profile sample; privacy.</x:v>
      </x:c>
      <x:c r="H54" s="48" t="str">
        <x:v>See Skill Passport</x:v>
      </x:c>
      <x:c r="I54" s="48" t="str">
        <x:v>Build Your Passport</x:v>
      </x:c>
      <x:c r="J54" s="48" t="str">
        <x:v>Page CMS</x:v>
      </x:c>
      <x:c r="K54" s="48" t="str">
        <x:v>Skill Passport product page</x:v>
      </x:c>
      <x:c r="L54" s="48" t="str">
        <x:v>P1</x:v>
      </x:c>
      <x:c r="M54" s="48" t="str">
        <x:v>Index</x:v>
      </x:c>
      <x:c r="N54" s="48" t="str"/>
      <x:c r="O54" s="48" t="str">
        <x:v>Backlog</x:v>
      </x:c>
      <x:c r="P54" s="48" t="str"/>
    </x:row>
    <x:row r="55">
      <x:c r="A55" s="48" t="str">
        <x:v>WEB-051</x:v>
      </x:c>
      <x:c r="B55" s="48" t="str">
        <x:v>Platform</x:v>
      </x:c>
      <x:c r="C55" s="48" t="str">
        <x:v>Readiness Intelligence</x:v>
      </x:c>
      <x:c r="D55" s="48" t="str">
        <x:v>/platform/readiness</x:v>
      </x:c>
      <x:c r="E55" s="48" t="str">
        <x:v>Students / Colleges / Enterprise</x:v>
      </x:c>
      <x:c r="F55" s="48" t="str">
        <x:v>Explain readiness scoring and gap-to-action engine.</x:v>
      </x:c>
      <x:c r="G55" s="48" t="str">
        <x:v>Readiness model; signals; score breakdown; cohort views; role/job fit; recommended actions; examples.</x:v>
      </x:c>
      <x:c r="H55" s="48" t="str">
        <x:v>Check Readiness</x:v>
      </x:c>
      <x:c r="I55" s="48" t="str">
        <x:v>Book a Demo</x:v>
      </x:c>
      <x:c r="J55" s="48" t="str">
        <x:v>Page CMS</x:v>
      </x:c>
      <x:c r="K55" s="48" t="str">
        <x:v>Readiness product content</x:v>
      </x:c>
      <x:c r="L55" s="48" t="str">
        <x:v>P0</x:v>
      </x:c>
      <x:c r="M55" s="48" t="str">
        <x:v>Index</x:v>
      </x:c>
      <x:c r="N55" s="48" t="str"/>
      <x:c r="O55" s="48" t="str">
        <x:v>Backlog</x:v>
      </x:c>
      <x:c r="P55" s="48" t="str"/>
    </x:row>
    <x:row r="56">
      <x:c r="A56" s="48" t="str">
        <x:v>WEB-052</x:v>
      </x:c>
      <x:c r="B56" s="48" t="str">
        <x:v>Platform</x:v>
      </x:c>
      <x:c r="C56" s="48" t="str">
        <x:v>Job Intelligence</x:v>
      </x:c>
      <x:c r="D56" s="48" t="str">
        <x:v>/platform/job-intelligence</x:v>
      </x:c>
      <x:c r="E56" s="48" t="str">
        <x:v>Students / Colleges</x:v>
      </x:c>
      <x:c r="F56" s="48" t="str">
        <x:v>Explain job discovery, normalization, matching, and skill-gap insights.</x:v>
      </x:c>
      <x:c r="G56" s="48" t="str">
        <x:v>Job aggregation; normalized fields; recommendations; match score; skill gaps; saved jobs; alerts; admin controls.</x:v>
      </x:c>
      <x:c r="H56" s="48" t="str">
        <x:v>Explore Jobs</x:v>
      </x:c>
      <x:c r="I56" s="48" t="str">
        <x:v>Check My Job Fit</x:v>
      </x:c>
      <x:c r="J56" s="48" t="str">
        <x:v>Job CMS</x:v>
      </x:c>
      <x:c r="K56" s="48" t="str">
        <x:v>Job Intelligence product page</x:v>
      </x:c>
      <x:c r="L56" s="48" t="str">
        <x:v>P1</x:v>
      </x:c>
      <x:c r="M56" s="48" t="str">
        <x:v>Index</x:v>
      </x:c>
      <x:c r="N56" s="48" t="str"/>
      <x:c r="O56" s="48" t="str">
        <x:v>Backlog</x:v>
      </x:c>
      <x:c r="P56" s="48" t="str"/>
    </x:row>
    <x:row r="57">
      <x:c r="A57" s="48" t="str">
        <x:v>WEB-053</x:v>
      </x:c>
      <x:c r="B57" s="48" t="str">
        <x:v>Platform</x:v>
      </x:c>
      <x:c r="C57" s="48" t="str">
        <x:v>Analytics</x:v>
      </x:c>
      <x:c r="D57" s="48" t="str">
        <x:v>/platform/analytics</x:v>
      </x:c>
      <x:c r="E57" s="48" t="str">
        <x:v>Colleges / Enterprise</x:v>
      </x:c>
      <x:c r="F57" s="48" t="str">
        <x:v>Show dashboards and actionable insights.</x:v>
      </x:c>
      <x:c r="G57" s="48" t="str">
        <x:v>Segment dashboards; cohort analytics; readiness; adoption; progress; exports; scheduled reports; screenshots.</x:v>
      </x:c>
      <x:c r="H57" s="48" t="str">
        <x:v>View Analytics</x:v>
      </x:c>
      <x:c r="I57" s="48" t="str">
        <x:v>Book a Demo</x:v>
      </x:c>
      <x:c r="J57" s="48" t="str">
        <x:v>Page CMS</x:v>
      </x:c>
      <x:c r="K57" s="48" t="str">
        <x:v>Analytics page</x:v>
      </x:c>
      <x:c r="L57" s="48" t="str">
        <x:v>P1</x:v>
      </x:c>
      <x:c r="M57" s="48" t="str">
        <x:v>Index</x:v>
      </x:c>
      <x:c r="N57" s="48" t="str"/>
      <x:c r="O57" s="48" t="str">
        <x:v>Backlog</x:v>
      </x:c>
      <x:c r="P57" s="48" t="str"/>
    </x:row>
    <x:row r="58">
      <x:c r="A58" s="48" t="str">
        <x:v>WEB-054</x:v>
      </x:c>
      <x:c r="B58" s="48" t="str">
        <x:v>Platform</x:v>
      </x:c>
      <x:c r="C58" s="48" t="str">
        <x:v>Pathwisse AI</x:v>
      </x:c>
      <x:c r="D58" s="48" t="str">
        <x:v>/platform/ai</x:v>
      </x:c>
      <x:c r="E58" s="48" t="str">
        <x:v>All</x:v>
      </x:c>
      <x:c r="F58" s="48" t="str">
        <x:v>Explain where AI is used, what it does, and its guardrails.</x:v>
      </x:c>
      <x:c r="G58" s="48" t="str">
        <x:v>AI use cases; recommendation; feedback; evaluation; voice; responsible AI; limitations; privacy; human oversight.</x:v>
      </x:c>
      <x:c r="H58" s="48" t="str">
        <x:v>Explore Pathwisse AI</x:v>
      </x:c>
      <x:c r="I58" s="48" t="str">
        <x:v>Read Responsible AI</x:v>
      </x:c>
      <x:c r="J58" s="48" t="str">
        <x:v>Page CMS</x:v>
      </x:c>
      <x:c r="K58" s="48" t="str">
        <x:v>AI capability page</x:v>
      </x:c>
      <x:c r="L58" s="48" t="str">
        <x:v>P1</x:v>
      </x:c>
      <x:c r="M58" s="48" t="str">
        <x:v>Index</x:v>
      </x:c>
      <x:c r="N58" s="48" t="str"/>
      <x:c r="O58" s="48" t="str">
        <x:v>Backlog</x:v>
      </x:c>
      <x:c r="P58" s="48" t="str"/>
    </x:row>
    <x:row r="59">
      <x:c r="A59" s="48" t="str">
        <x:v>WEB-055</x:v>
      </x:c>
      <x:c r="B59" s="48" t="str">
        <x:v>Platform</x:v>
      </x:c>
      <x:c r="C59" s="48" t="str">
        <x:v>Admin Platform</x:v>
      </x:c>
      <x:c r="D59" s="48" t="str">
        <x:v>/platform/admin</x:v>
      </x:c>
      <x:c r="E59" s="48" t="str">
        <x:v>College / Enterprise Admins</x:v>
      </x:c>
      <x:c r="F59" s="48" t="str">
        <x:v>Explain administrative controls and operational workflows.</x:v>
      </x:c>
      <x:c r="G59" s="48" t="str">
        <x:v>Organizations; workspaces; roles; cohort management; content assignment; reports; permissions; audit trail; screenshots.</x:v>
      </x:c>
      <x:c r="H59" s="48" t="str">
        <x:v>View Admin Platform</x:v>
      </x:c>
      <x:c r="I59" s="48" t="str">
        <x:v>Book a Demo</x:v>
      </x:c>
      <x:c r="J59" s="48" t="str">
        <x:v>Page CMS</x:v>
      </x:c>
      <x:c r="K59" s="48" t="str">
        <x:v>Admin product page</x:v>
      </x:c>
      <x:c r="L59" s="48" t="str">
        <x:v>P1</x:v>
      </x:c>
      <x:c r="M59" s="48" t="str">
        <x:v>Index</x:v>
      </x:c>
      <x:c r="N59" s="48" t="str"/>
      <x:c r="O59" s="48" t="str">
        <x:v>Backlog</x:v>
      </x:c>
      <x:c r="P59" s="48" t="str"/>
    </x:row>
    <x:row r="60">
      <x:c r="A60" s="48" t="str">
        <x:v>WEB-056</x:v>
      </x:c>
      <x:c r="B60" s="48" t="str">
        <x:v>Career Explorer</x:v>
      </x:c>
      <x:c r="C60" s="48" t="str">
        <x:v>Career Explorer</x:v>
      </x:c>
      <x:c r="D60" s="48" t="str">
        <x:v>/careers</x:v>
      </x:c>
      <x:c r="E60" s="48" t="str">
        <x:v>Students / SEO visitors</x:v>
      </x:c>
      <x:c r="F60" s="48" t="str">
        <x:v>Help users discover career options and enter roadmaps.</x:v>
      </x:c>
      <x:c r="G60" s="48" t="str">
        <x:v>Search; filters; career cards; salary/skills summaries; categories; trending roles; assessment CTA; featured roadmaps.</x:v>
      </x:c>
      <x:c r="H60" s="48" t="str">
        <x:v>Explore Careers</x:v>
      </x:c>
      <x:c r="I60" s="48" t="str">
        <x:v>Take Career Assessment</x:v>
      </x:c>
      <x:c r="J60" s="48" t="str">
        <x:v>Career CMS</x:v>
      </x:c>
      <x:c r="K60" s="48" t="str">
        <x:v>Career catalog and filters</x:v>
      </x:c>
      <x:c r="L60" s="48" t="str">
        <x:v>P0</x:v>
      </x:c>
      <x:c r="M60" s="48" t="str">
        <x:v>Index</x:v>
      </x:c>
      <x:c r="N60" s="48" t="str">
        <x:v>Dynamic catalogue</x:v>
      </x:c>
      <x:c r="O60" s="48" t="str">
        <x:v>Backlog</x:v>
      </x:c>
      <x:c r="P60" s="48" t="str"/>
    </x:row>
    <x:row r="61">
      <x:c r="A61" s="48" t="str">
        <x:v>WEB-057</x:v>
      </x:c>
      <x:c r="B61" s="48" t="str">
        <x:v>Career Explorer</x:v>
      </x:c>
      <x:c r="C61" s="48" t="str">
        <x:v>Career Detail Template</x:v>
      </x:c>
      <x:c r="D61" s="48" t="str">
        <x:v>/careers/[career-slug]</x:v>
      </x:c>
      <x:c r="E61" s="48" t="str">
        <x:v>Students / SEO visitors</x:v>
      </x:c>
      <x:c r="F61" s="48" t="str">
        <x:v>Provide a high-intent career page that connects role information to Pathwisse actions.</x:v>
      </x:c>
      <x:c r="G61" s="48" t="str">
        <x:v>Role overview; responsibilities; salary data; skills; tools; roadmap; projects; interview prep; related jobs; FAQs; structured data.</x:v>
      </x:c>
      <x:c r="H61" s="48" t="str">
        <x:v>Start This Career Roadmap</x:v>
      </x:c>
      <x:c r="I61" s="48" t="str">
        <x:v>Check My Readiness</x:v>
      </x:c>
      <x:c r="J61" s="48" t="str">
        <x:v>Career CMS</x:v>
      </x:c>
      <x:c r="K61" s="48" t="str">
        <x:v>Career detail editor</x:v>
      </x:c>
      <x:c r="L61" s="48" t="str">
        <x:v>P0</x:v>
      </x:c>
      <x:c r="M61" s="48" t="str">
        <x:v>Index</x:v>
      </x:c>
      <x:c r="N61" s="48" t="str">
        <x:v>Programmatic template</x:v>
      </x:c>
      <x:c r="O61" s="48" t="str">
        <x:v>Backlog</x:v>
      </x:c>
      <x:c r="P61" s="48" t="str"/>
    </x:row>
    <x:row r="62">
      <x:c r="A62" s="48" t="str">
        <x:v>WEB-058</x:v>
      </x:c>
      <x:c r="B62" s="48" t="str">
        <x:v>Skill Explorer</x:v>
      </x:c>
      <x:c r="C62" s="48" t="str">
        <x:v>Skill Explorer</x:v>
      </x:c>
      <x:c r="D62" s="48" t="str">
        <x:v>/skills</x:v>
      </x:c>
      <x:c r="E62" s="48" t="str">
        <x:v>Students / SEO visitors</x:v>
      </x:c>
      <x:c r="F62" s="48" t="str">
        <x:v>Provide searchable discovery across Pathwisse skills.</x:v>
      </x:c>
      <x:c r="G62" s="48" t="str">
        <x:v>Search; category filters; skill cards; career relevance; level; learning time; related roadmaps; featured skills; taxonomy.</x:v>
      </x:c>
      <x:c r="H62" s="48" t="str">
        <x:v>Explore Skills</x:v>
      </x:c>
      <x:c r="I62" s="48" t="str">
        <x:v>Find Skills for My Career</x:v>
      </x:c>
      <x:c r="J62" s="48" t="str">
        <x:v>Skill Explorer Admin</x:v>
      </x:c>
      <x:c r="K62" s="48" t="str">
        <x:v>Skill catalog, taxonomy, featured skills, filters</x:v>
      </x:c>
      <x:c r="L62" s="48" t="str">
        <x:v>P0</x:v>
      </x:c>
      <x:c r="M62" s="48" t="str">
        <x:v>Index</x:v>
      </x:c>
      <x:c r="N62" s="48" t="str">
        <x:v>Admin required</x:v>
      </x:c>
      <x:c r="O62" s="48" t="str">
        <x:v>Backlog</x:v>
      </x:c>
      <x:c r="P62" s="48" t="str"/>
    </x:row>
    <x:row r="63">
      <x:c r="A63" s="48" t="str">
        <x:v>WEB-059</x:v>
      </x:c>
      <x:c r="B63" s="48" t="str">
        <x:v>Skill Explorer</x:v>
      </x:c>
      <x:c r="C63" s="48" t="str">
        <x:v>Skill Detail Template</x:v>
      </x:c>
      <x:c r="D63" s="48" t="str">
        <x:v>/skills/[skill-slug]</x:v>
      </x:c>
      <x:c r="E63" s="48" t="str">
        <x:v>Students / SEO visitors</x:v>
      </x:c>
      <x:c r="F63" s="48" t="str">
        <x:v>Turn each skill into a discoverable learning and career-intent page.</x:v>
      </x:c>
      <x:c r="G63" s="48" t="str">
        <x:v>Skill overview; why it matters; prerequisites; stages/topics; examples; projects; careers using the skill; related skills; FAQs; schema.</x:v>
      </x:c>
      <x:c r="H63" s="48" t="str">
        <x:v>Start Learning This Skill</x:v>
      </x:c>
      <x:c r="I63" s="48" t="str">
        <x:v>Explore Related Careers</x:v>
      </x:c>
      <x:c r="J63" s="48" t="str">
        <x:v>Skill Explorer Admin</x:v>
      </x:c>
      <x:c r="K63" s="48" t="str">
        <x:v>Skill detail editor, stage/topic mapping, SEO</x:v>
      </x:c>
      <x:c r="L63" s="48" t="str">
        <x:v>P0</x:v>
      </x:c>
      <x:c r="M63" s="48" t="str">
        <x:v>Index</x:v>
      </x:c>
      <x:c r="N63" s="48" t="str">
        <x:v>Programmatic template; admin required</x:v>
      </x:c>
      <x:c r="O63" s="48" t="str">
        <x:v>Backlog</x:v>
      </x:c>
      <x:c r="P63" s="48" t="str"/>
    </x:row>
    <x:row r="64">
      <x:c r="A64" s="48" t="str">
        <x:v>WEB-060</x:v>
      </x:c>
      <x:c r="B64" s="48" t="str">
        <x:v>Roadmaps</x:v>
      </x:c>
      <x:c r="C64" s="48" t="str">
        <x:v>Roadmap Explorer</x:v>
      </x:c>
      <x:c r="D64" s="48" t="str">
        <x:v>/roadmaps</x:v>
      </x:c>
      <x:c r="E64" s="48" t="str">
        <x:v>Students / SEO visitors</x:v>
      </x:c>
      <x:c r="F64" s="48" t="str">
        <x:v>Help users find structured career roadmaps.</x:v>
      </x:c>
      <x:c r="G64" s="48" t="str">
        <x:v>Search; filters; career categories; roadmap cards; duration; skills; difficulty; featured roadmaps; assessment CTA.</x:v>
      </x:c>
      <x:c r="H64" s="48" t="str">
        <x:v>Explore Roadmaps</x:v>
      </x:c>
      <x:c r="I64" s="48" t="str">
        <x:v>Find My Career Path</x:v>
      </x:c>
      <x:c r="J64" s="48" t="str">
        <x:v>Roadmap CMS</x:v>
      </x:c>
      <x:c r="K64" s="48" t="str">
        <x:v>Roadmap catalog</x:v>
      </x:c>
      <x:c r="L64" s="48" t="str">
        <x:v>P0</x:v>
      </x:c>
      <x:c r="M64" s="48" t="str">
        <x:v>Index</x:v>
      </x:c>
      <x:c r="N64" s="48" t="str"/>
      <x:c r="O64" s="48" t="str">
        <x:v>Backlog</x:v>
      </x:c>
      <x:c r="P64" s="48" t="str"/>
    </x:row>
    <x:row r="65">
      <x:c r="A65" s="48" t="str">
        <x:v>WEB-061</x:v>
      </x:c>
      <x:c r="B65" s="48" t="str">
        <x:v>Roadmaps</x:v>
      </x:c>
      <x:c r="C65" s="48" t="str">
        <x:v>Roadmap Detail Template</x:v>
      </x:c>
      <x:c r="D65" s="48" t="str">
        <x:v>/roadmaps/[role-slug]</x:v>
      </x:c>
      <x:c r="E65" s="48" t="str">
        <x:v>Students / SEO visitors</x:v>
      </x:c>
      <x:c r="F65" s="48" t="str">
        <x:v>Show the complete learning journey for a target role.</x:v>
      </x:c>
      <x:c r="G65" s="48" t="str">
        <x:v>Career outcome; phases; skills; stages; topics; projects; prerequisites; milestones; progress preview; FAQs; schema.</x:v>
      </x:c>
      <x:c r="H65" s="48" t="str">
        <x:v>Start This Roadmap</x:v>
      </x:c>
      <x:c r="I65" s="48" t="str">
        <x:v>Check My Readiness</x:v>
      </x:c>
      <x:c r="J65" s="48" t="str">
        <x:v>Roadmap CMS</x:v>
      </x:c>
      <x:c r="K65" s="48" t="str">
        <x:v>Roadmap hierarchy editor</x:v>
      </x:c>
      <x:c r="L65" s="48" t="str">
        <x:v>P0</x:v>
      </x:c>
      <x:c r="M65" s="48" t="str">
        <x:v>Index</x:v>
      </x:c>
      <x:c r="N65" s="48" t="str">
        <x:v>Programmatic template</x:v>
      </x:c>
      <x:c r="O65" s="48" t="str">
        <x:v>Backlog</x:v>
      </x:c>
      <x:c r="P65" s="48" t="str"/>
    </x:row>
    <x:row r="66">
      <x:c r="A66" s="48" t="str">
        <x:v>WEB-062</x:v>
      </x:c>
      <x:c r="B66" s="48" t="str">
        <x:v>Projects</x:v>
      </x:c>
      <x:c r="C66" s="48" t="str">
        <x:v>Project Explorer</x:v>
      </x:c>
      <x:c r="D66" s="48" t="str">
        <x:v>/projects</x:v>
      </x:c>
      <x:c r="E66" s="48" t="str">
        <x:v>Students / Colleges / Enterprise</x:v>
      </x:c>
      <x:c r="F66" s="48" t="str">
        <x:v>Make experiential learning discoverable and filterable.</x:v>
      </x:c>
      <x:c r="G66" s="48" t="str">
        <x:v>Search; filters; skill/career/difficulty; project cards; featured projects; company/industry tags; outcomes.</x:v>
      </x:c>
      <x:c r="H66" s="48" t="str">
        <x:v>Explore Projects</x:v>
      </x:c>
      <x:c r="I66" s="48" t="str">
        <x:v>Start a Project</x:v>
      </x:c>
      <x:c r="J66" s="48" t="str">
        <x:v>Project CMS</x:v>
      </x:c>
      <x:c r="K66" s="48" t="str">
        <x:v>Project catalog and taxonomy</x:v>
      </x:c>
      <x:c r="L66" s="48" t="str">
        <x:v>P0</x:v>
      </x:c>
      <x:c r="M66" s="48" t="str">
        <x:v>Index</x:v>
      </x:c>
      <x:c r="N66" s="48" t="str"/>
      <x:c r="O66" s="48" t="str">
        <x:v>Backlog</x:v>
      </x:c>
      <x:c r="P66" s="48" t="str"/>
    </x:row>
    <x:row r="67">
      <x:c r="A67" s="48" t="str">
        <x:v>WEB-063</x:v>
      </x:c>
      <x:c r="B67" s="48" t="str">
        <x:v>Projects</x:v>
      </x:c>
      <x:c r="C67" s="48" t="str">
        <x:v>Project Detail Template</x:v>
      </x:c>
      <x:c r="D67" s="48" t="str">
        <x:v>/projects/[project-slug]</x:v>
      </x:c>
      <x:c r="E67" s="48" t="str">
        <x:v>Students / SEO visitors</x:v>
      </x:c>
      <x:c r="F67" s="48" t="str">
        <x:v>Explain one project and convert users into doing it.</x:v>
      </x:c>
      <x:c r="G67" s="48" t="str">
        <x:v>Problem statement; context; skills; difficulty; duration; deliverables; evaluation rubric; prerequisites; related careers; FAQs.</x:v>
      </x:c>
      <x:c r="H67" s="48" t="str">
        <x:v>Start This Project</x:v>
      </x:c>
      <x:c r="I67" s="48" t="str">
        <x:v>View Related Skills</x:v>
      </x:c>
      <x:c r="J67" s="48" t="str">
        <x:v>Project CMS</x:v>
      </x:c>
      <x:c r="K67" s="48" t="str">
        <x:v>Project detail editor</x:v>
      </x:c>
      <x:c r="L67" s="48" t="str">
        <x:v>P1</x:v>
      </x:c>
      <x:c r="M67" s="48" t="str">
        <x:v>Index</x:v>
      </x:c>
      <x:c r="N67" s="48" t="str">
        <x:v>Programmatic template</x:v>
      </x:c>
      <x:c r="O67" s="48" t="str">
        <x:v>Backlog</x:v>
      </x:c>
      <x:c r="P67" s="48" t="str"/>
    </x:row>
    <x:row r="68">
      <x:c r="A68" s="48" t="str">
        <x:v>WEB-064</x:v>
      </x:c>
      <x:c r="B68" s="48" t="str">
        <x:v>Jobs</x:v>
      </x:c>
      <x:c r="C68" s="48" t="str">
        <x:v>Jobs Home</x:v>
      </x:c>
      <x:c r="D68" s="48" t="str">
        <x:v>/jobs</x:v>
      </x:c>
      <x:c r="E68" s="48" t="str">
        <x:v>Students</x:v>
      </x:c>
      <x:c r="F68" s="48" t="str">
        <x:v>Make Pathwisse useful at the point of employment intent.</x:v>
      </x:c>
      <x:c r="G68" s="48" t="str">
        <x:v>Job search; recommended jobs; filters; saved jobs; featured employers; readiness CTA; role categories.</x:v>
      </x:c>
      <x:c r="H68" s="48" t="str">
        <x:v>Explore Jobs</x:v>
      </x:c>
      <x:c r="I68" s="48" t="str">
        <x:v>Check My Job Fit</x:v>
      </x:c>
      <x:c r="J68" s="48" t="str">
        <x:v>Job CMS</x:v>
      </x:c>
      <x:c r="K68" s="48" t="str">
        <x:v>Job catalogue configuration</x:v>
      </x:c>
      <x:c r="L68" s="48" t="str">
        <x:v>P1</x:v>
      </x:c>
      <x:c r="M68" s="48" t="str">
        <x:v>Index</x:v>
      </x:c>
      <x:c r="N68" s="48" t="str"/>
      <x:c r="O68" s="48" t="str">
        <x:v>Backlog</x:v>
      </x:c>
      <x:c r="P68" s="48" t="str"/>
    </x:row>
    <x:row r="69">
      <x:c r="A69" s="48" t="str">
        <x:v>WEB-065</x:v>
      </x:c>
      <x:c r="B69" s="48" t="str">
        <x:v>Jobs</x:v>
      </x:c>
      <x:c r="C69" s="48" t="str">
        <x:v>Job Search</x:v>
      </x:c>
      <x:c r="D69" s="48" t="str">
        <x:v>/jobs/search</x:v>
      </x:c>
      <x:c r="E69" s="48" t="str">
        <x:v>Students</x:v>
      </x:c>
      <x:c r="F69" s="48" t="str">
        <x:v>Enable job discovery with structured filters.</x:v>
      </x:c>
      <x:c r="G69" s="48" t="str">
        <x:v>Keyword/location/role/experience filters; pagination; sort; saved jobs; alerts; match indicators.</x:v>
      </x:c>
      <x:c r="H69" s="48" t="str">
        <x:v>Search Jobs</x:v>
      </x:c>
      <x:c r="I69" s="48" t="str">
        <x:v>Create Job Alert</x:v>
      </x:c>
      <x:c r="J69" s="48" t="str">
        <x:v>Job CMS</x:v>
      </x:c>
      <x:c r="K69" s="48" t="str">
        <x:v>Search/filter config</x:v>
      </x:c>
      <x:c r="L69" s="48" t="str">
        <x:v>P1</x:v>
      </x:c>
      <x:c r="M69" s="48" t="str">
        <x:v>Index</x:v>
      </x:c>
      <x:c r="N69" s="48" t="str">
        <x:v>Dynamic</x:v>
      </x:c>
      <x:c r="O69" s="48" t="str">
        <x:v>Backlog</x:v>
      </x:c>
      <x:c r="P69" s="48" t="str"/>
    </x:row>
    <x:row r="70">
      <x:c r="A70" s="48" t="str">
        <x:v>WEB-066</x:v>
      </x:c>
      <x:c r="B70" s="48" t="str">
        <x:v>Jobs</x:v>
      </x:c>
      <x:c r="C70" s="48" t="str">
        <x:v>Job Detail Template</x:v>
      </x:c>
      <x:c r="D70" s="48" t="str">
        <x:v>/jobs/[job-slug]</x:v>
      </x:c>
      <x:c r="E70" s="48" t="str">
        <x:v>Students</x:v>
      </x:c>
      <x:c r="F70" s="48" t="str">
        <x:v>Show normalized job data, match, and actionable skill gaps.</x:v>
      </x:c>
      <x:c r="G70" s="48" t="str">
        <x:v>Job description; company; location; experience; skills; source; match score; missing skills; recommended roadmap; apply link.</x:v>
      </x:c>
      <x:c r="H70" s="48" t="str">
        <x:v>Apply to Job</x:v>
      </x:c>
      <x:c r="I70" s="48" t="str">
        <x:v>Close My Skill Gaps</x:v>
      </x:c>
      <x:c r="J70" s="48" t="str">
        <x:v>Job CMS</x:v>
      </x:c>
      <x:c r="K70" s="48" t="str">
        <x:v>Job detail, enrichment, source mapping</x:v>
      </x:c>
      <x:c r="L70" s="48" t="str">
        <x:v>P1</x:v>
      </x:c>
      <x:c r="M70" s="48" t="str">
        <x:v>Index</x:v>
      </x:c>
      <x:c r="N70" s="48" t="str">
        <x:v>Programmatic template</x:v>
      </x:c>
      <x:c r="O70" s="48" t="str">
        <x:v>Backlog</x:v>
      </x:c>
      <x:c r="P70" s="48" t="str"/>
    </x:row>
    <x:row r="71">
      <x:c r="A71" s="48" t="str">
        <x:v>WEB-067</x:v>
      </x:c>
      <x:c r="B71" s="48" t="str">
        <x:v>Jobs</x:v>
      </x:c>
      <x:c r="C71" s="48" t="str">
        <x:v>Recommended Jobs</x:v>
      </x:c>
      <x:c r="D71" s="48" t="str">
        <x:v>/jobs/recommended</x:v>
      </x:c>
      <x:c r="E71" s="48" t="str">
        <x:v>Logged-in Students</x:v>
      </x:c>
      <x:c r="F71" s="48" t="str">
        <x:v>Personalize opportunities using profile and readiness.</x:v>
      </x:c>
      <x:c r="G71" s="48" t="str">
        <x:v>Personalized list; match score; reasoning; missing skills; saved/dismiss actions; filters.</x:v>
      </x:c>
      <x:c r="H71" s="48" t="str">
        <x:v>View Best Matches</x:v>
      </x:c>
      <x:c r="I71" s="48" t="str">
        <x:v>Improve My Match</x:v>
      </x:c>
      <x:c r="J71" s="48" t="str">
        <x:v>Product-managed</x:v>
      </x:c>
      <x:c r="K71" s="48" t="str">
        <x:v>Recommendation configuration</x:v>
      </x:c>
      <x:c r="L71" s="48" t="str">
        <x:v>P2</x:v>
      </x:c>
      <x:c r="M71" s="48" t="str">
        <x:v>Noindex</x:v>
      </x:c>
      <x:c r="N71" s="48" t="str">
        <x:v>Authenticated/personalized</x:v>
      </x:c>
      <x:c r="O71" s="48" t="str">
        <x:v>Backlog</x:v>
      </x:c>
      <x:c r="P71" s="48" t="str"/>
    </x:row>
    <x:row r="72">
      <x:c r="A72" s="48" t="str">
        <x:v>WEB-068</x:v>
      </x:c>
      <x:c r="B72" s="48" t="str">
        <x:v>Jobs</x:v>
      </x:c>
      <x:c r="C72" s="48" t="str">
        <x:v>Companies Explorer</x:v>
      </x:c>
      <x:c r="D72" s="48" t="str">
        <x:v>/jobs/companies</x:v>
      </x:c>
      <x:c r="E72" s="48" t="str">
        <x:v>Students / SEO visitors</x:v>
      </x:c>
      <x:c r="F72" s="48" t="str">
        <x:v>Enable discovery by employer.</x:v>
      </x:c>
      <x:c r="G72" s="48" t="str">
        <x:v>Company cards; industries; open roles; location; related skills; search/filter.</x:v>
      </x:c>
      <x:c r="H72" s="48" t="str">
        <x:v>Explore Companies</x:v>
      </x:c>
      <x:c r="I72" s="48" t="str">
        <x:v>View Open Jobs</x:v>
      </x:c>
      <x:c r="J72" s="48" t="str">
        <x:v>Job CMS</x:v>
      </x:c>
      <x:c r="K72" s="48" t="str">
        <x:v>Company records</x:v>
      </x:c>
      <x:c r="L72" s="48" t="str">
        <x:v>P2</x:v>
      </x:c>
      <x:c r="M72" s="48" t="str">
        <x:v>Index</x:v>
      </x:c>
      <x:c r="N72" s="48" t="str"/>
      <x:c r="O72" s="48" t="str">
        <x:v>Backlog</x:v>
      </x:c>
      <x:c r="P72" s="48" t="str"/>
    </x:row>
    <x:row r="73">
      <x:c r="A73" s="48" t="str">
        <x:v>WEB-069</x:v>
      </x:c>
      <x:c r="B73" s="48" t="str">
        <x:v>Jobs</x:v>
      </x:c>
      <x:c r="C73" s="48" t="str">
        <x:v>Company Detail Template</x:v>
      </x:c>
      <x:c r="D73" s="48" t="str">
        <x:v>/jobs/companies/[company-slug]</x:v>
      </x:c>
      <x:c r="E73" s="48" t="str">
        <x:v>Students / SEO visitors</x:v>
      </x:c>
      <x:c r="F73" s="48" t="str">
        <x:v>Aggregate company information and current opportunities.</x:v>
      </x:c>
      <x:c r="G73" s="48" t="str">
        <x:v>Company overview; industry; locations; roles; skills; open jobs; related careers; source attribution.</x:v>
      </x:c>
      <x:c r="H73" s="48" t="str">
        <x:v>View Open Roles</x:v>
      </x:c>
      <x:c r="I73" s="48" t="str">
        <x:v>Check My Fit</x:v>
      </x:c>
      <x:c r="J73" s="48" t="str">
        <x:v>Job CMS</x:v>
      </x:c>
      <x:c r="K73" s="48" t="str">
        <x:v>Company detail editor/enrichment</x:v>
      </x:c>
      <x:c r="L73" s="48" t="str">
        <x:v>P2</x:v>
      </x:c>
      <x:c r="M73" s="48" t="str">
        <x:v>Index</x:v>
      </x:c>
      <x:c r="N73" s="48" t="str">
        <x:v>Programmatic template</x:v>
      </x:c>
      <x:c r="O73" s="48" t="str">
        <x:v>Backlog</x:v>
      </x:c>
      <x:c r="P73" s="48" t="str"/>
    </x:row>
    <x:row r="74">
      <x:c r="A74" s="48" t="str">
        <x:v>WEB-070</x:v>
      </x:c>
      <x:c r="B74" s="48" t="str">
        <x:v>Resources</x:v>
      </x:c>
      <x:c r="C74" s="48" t="str">
        <x:v>Resources Hub</x:v>
      </x:c>
      <x:c r="D74" s="48" t="str">
        <x:v>/resources</x:v>
      </x:c>
      <x:c r="E74" s="48" t="str">
        <x:v>All</x:v>
      </x:c>
      <x:c r="F74" s="48" t="str">
        <x:v>Create one discovery hub for education and decision-support content.</x:v>
      </x:c>
      <x:c r="G74" s="48" t="str">
        <x:v>Content types; topic filters; featured guides; reports; webinars; videos; career guides; college resources; enterprise resources.</x:v>
      </x:c>
      <x:c r="H74" s="48" t="str">
        <x:v>Explore Resources</x:v>
      </x:c>
      <x:c r="I74" s="48" t="str">
        <x:v>Subscribe for Updates</x:v>
      </x:c>
      <x:c r="J74" s="48" t="str">
        <x:v>Resource CMS</x:v>
      </x:c>
      <x:c r="K74" s="48" t="str">
        <x:v>Resource cards and taxonomy</x:v>
      </x:c>
      <x:c r="L74" s="48" t="str">
        <x:v>P1</x:v>
      </x:c>
      <x:c r="M74" s="48" t="str">
        <x:v>Index</x:v>
      </x:c>
      <x:c r="N74" s="48" t="str"/>
      <x:c r="O74" s="48" t="str">
        <x:v>Backlog</x:v>
      </x:c>
      <x:c r="P74" s="48" t="str"/>
    </x:row>
    <x:row r="75">
      <x:c r="A75" s="48" t="str">
        <x:v>WEB-071</x:v>
      </x:c>
      <x:c r="B75" s="48" t="str">
        <x:v>Resources</x:v>
      </x:c>
      <x:c r="C75" s="48" t="str">
        <x:v>Blog Home</x:v>
      </x:c>
      <x:c r="D75" s="48" t="str">
        <x:v>/blog</x:v>
      </x:c>
      <x:c r="E75" s="48" t="str">
        <x:v>All / SEO visitors</x:v>
      </x:c>
      <x:c r="F75" s="48" t="str">
        <x:v>Drive organic discovery and education.</x:v>
      </x:c>
      <x:c r="G75" s="48" t="str">
        <x:v>Featured article; categories; search; latest; popular; authors; newsletter signup; pagination; related product CTA.</x:v>
      </x:c>
      <x:c r="H75" s="48" t="str">
        <x:v>Read Latest Articles</x:v>
      </x:c>
      <x:c r="I75" s="48" t="str">
        <x:v>Subscribe</x:v>
      </x:c>
      <x:c r="J75" s="48" t="str">
        <x:v>Blog Admin</x:v>
      </x:c>
      <x:c r="K75" s="48" t="str">
        <x:v>Blog list, categories, featured posts</x:v>
      </x:c>
      <x:c r="L75" s="48" t="str">
        <x:v>P0</x:v>
      </x:c>
      <x:c r="M75" s="48" t="str">
        <x:v>Index</x:v>
      </x:c>
      <x:c r="N75" s="48" t="str">
        <x:v>Admin required</x:v>
      </x:c>
      <x:c r="O75" s="48" t="str">
        <x:v>Backlog</x:v>
      </x:c>
      <x:c r="P75" s="48" t="str"/>
    </x:row>
    <x:row r="76">
      <x:c r="A76" s="48" t="str">
        <x:v>WEB-072</x:v>
      </x:c>
      <x:c r="B76" s="48" t="str">
        <x:v>Resources</x:v>
      </x:c>
      <x:c r="C76" s="48" t="str">
        <x:v>Blog Category Template</x:v>
      </x:c>
      <x:c r="D76" s="48" t="str">
        <x:v>/blog/category/[slug]</x:v>
      </x:c>
      <x:c r="E76" s="48" t="str">
        <x:v>SEO visitors</x:v>
      </x:c>
      <x:c r="F76" s="48" t="str">
        <x:v>Create crawlable topical clusters.</x:v>
      </x:c>
      <x:c r="G76" s="48" t="str">
        <x:v>Category intro; article list; pagination; related guides/skills/careers; internal links; SEO metadata.</x:v>
      </x:c>
      <x:c r="H76" s="48" t="str">
        <x:v>Explore Articles</x:v>
      </x:c>
      <x:c r="I76" s="48" t="str">
        <x:v>Explore Related Skills</x:v>
      </x:c>
      <x:c r="J76" s="48" t="str">
        <x:v>Blog Admin</x:v>
      </x:c>
      <x:c r="K76" s="48" t="str">
        <x:v>Blog category editor</x:v>
      </x:c>
      <x:c r="L76" s="48" t="str">
        <x:v>P1</x:v>
      </x:c>
      <x:c r="M76" s="48" t="str">
        <x:v>Index</x:v>
      </x:c>
      <x:c r="N76" s="48" t="str">
        <x:v>Dynamic</x:v>
      </x:c>
      <x:c r="O76" s="48" t="str">
        <x:v>Backlog</x:v>
      </x:c>
      <x:c r="P76" s="48" t="str"/>
    </x:row>
    <x:row r="77">
      <x:c r="A77" s="48" t="str">
        <x:v>WEB-073</x:v>
      </x:c>
      <x:c r="B77" s="48" t="str">
        <x:v>Resources</x:v>
      </x:c>
      <x:c r="C77" s="48" t="str">
        <x:v>Blog Article Template</x:v>
      </x:c>
      <x:c r="D77" s="48" t="str">
        <x:v>/blog/[slug]</x:v>
      </x:c>
      <x:c r="E77" s="48" t="str">
        <x:v>SEO visitors</x:v>
      </x:c>
      <x:c r="F77" s="48" t="str">
        <x:v>Publish high-quality articles that move readers into relevant product journeys.</x:v>
      </x:c>
      <x:c r="G77" s="48" t="str">
        <x:v>Rich article; TOC; author; reviewer; publish/update dates; citations/sources; images; FAQs; related content; product CTA; schema.</x:v>
      </x:c>
      <x:c r="H77" s="48" t="str">
        <x:v>Explore Related Roadmap</x:v>
      </x:c>
      <x:c r="I77" s="48" t="str">
        <x:v>Start Free</x:v>
      </x:c>
      <x:c r="J77" s="48" t="str">
        <x:v>Blog Admin</x:v>
      </x:c>
      <x:c r="K77" s="48" t="str">
        <x:v>Rich editor, author/reviewer, SEO, scheduling, related content</x:v>
      </x:c>
      <x:c r="L77" s="48" t="str">
        <x:v>P0</x:v>
      </x:c>
      <x:c r="M77" s="48" t="str">
        <x:v>Index</x:v>
      </x:c>
      <x:c r="N77" s="48" t="str">
        <x:v>Admin required</x:v>
      </x:c>
      <x:c r="O77" s="48" t="str">
        <x:v>Backlog</x:v>
      </x:c>
      <x:c r="P77" s="48" t="str"/>
    </x:row>
    <x:row r="78">
      <x:c r="A78" s="48" t="str">
        <x:v>WEB-074</x:v>
      </x:c>
      <x:c r="B78" s="48" t="str">
        <x:v>Resources</x:v>
      </x:c>
      <x:c r="C78" s="48" t="str">
        <x:v>Guides Hub</x:v>
      </x:c>
      <x:c r="D78" s="48" t="str">
        <x:v>/guides</x:v>
      </x:c>
      <x:c r="E78" s="48" t="str">
        <x:v>Students / Colleges / Enterprise</x:v>
      </x:c>
      <x:c r="F78" s="48" t="str">
        <x:v>Provide durable long-form guides beyond blog posts.</x:v>
      </x:c>
      <x:c r="G78" s="48" t="str">
        <x:v>Guide categories; filters; featured guides; downloadable assets; lead capture where applicable.</x:v>
      </x:c>
      <x:c r="H78" s="48" t="str">
        <x:v>Explore Guides</x:v>
      </x:c>
      <x:c r="I78" s="48" t="str">
        <x:v>Download a Guide</x:v>
      </x:c>
      <x:c r="J78" s="48" t="str">
        <x:v>Resource CMS</x:v>
      </x:c>
      <x:c r="K78" s="48" t="str">
        <x:v>Guide catalog</x:v>
      </x:c>
      <x:c r="L78" s="48" t="str">
        <x:v>P2</x:v>
      </x:c>
      <x:c r="M78" s="48" t="str">
        <x:v>Index</x:v>
      </x:c>
      <x:c r="N78" s="48" t="str"/>
      <x:c r="O78" s="48" t="str">
        <x:v>Backlog</x:v>
      </x:c>
      <x:c r="P78" s="48" t="str"/>
    </x:row>
    <x:row r="79">
      <x:c r="A79" s="48" t="str">
        <x:v>WEB-075</x:v>
      </x:c>
      <x:c r="B79" s="48" t="str">
        <x:v>Resources</x:v>
      </x:c>
      <x:c r="C79" s="48" t="str">
        <x:v>Guide Detail Template</x:v>
      </x:c>
      <x:c r="D79" s="48" t="str">
        <x:v>/guides/[slug]</x:v>
      </x:c>
      <x:c r="E79" s="48" t="str">
        <x:v>SEO visitors</x:v>
      </x:c>
      <x:c r="F79" s="48" t="str">
        <x:v>Host evergreen, structured guides.</x:v>
      </x:c>
      <x:c r="G79" s="48" t="str">
        <x:v>Rich content; chapters; navigation; sources; downloadable asset; related skills/careers; FAQs; CTA.</x:v>
      </x:c>
      <x:c r="H79" s="48" t="str">
        <x:v>Start Relevant Roadmap</x:v>
      </x:c>
      <x:c r="I79" s="48" t="str">
        <x:v>Download Guide</x:v>
      </x:c>
      <x:c r="J79" s="48" t="str">
        <x:v>Resource CMS</x:v>
      </x:c>
      <x:c r="K79" s="48" t="str">
        <x:v>Guide editor</x:v>
      </x:c>
      <x:c r="L79" s="48" t="str">
        <x:v>P2</x:v>
      </x:c>
      <x:c r="M79" s="48" t="str">
        <x:v>Index</x:v>
      </x:c>
      <x:c r="N79" s="48" t="str"/>
      <x:c r="O79" s="48" t="str">
        <x:v>Backlog</x:v>
      </x:c>
      <x:c r="P79" s="48" t="str"/>
    </x:row>
    <x:row r="80">
      <x:c r="A80" s="48" t="str">
        <x:v>WEB-076</x:v>
      </x:c>
      <x:c r="B80" s="48" t="str">
        <x:v>Resources</x:v>
      </x:c>
      <x:c r="C80" s="48" t="str">
        <x:v>Webinars</x:v>
      </x:c>
      <x:c r="D80" s="48" t="str">
        <x:v>/webinars</x:v>
      </x:c>
      <x:c r="E80" s="48" t="str">
        <x:v>Colleges / Enterprise / Students</x:v>
      </x:c>
      <x:c r="F80" s="48" t="str">
        <x:v>Promote live and recorded educational sessions.</x:v>
      </x:c>
      <x:c r="G80" s="48" t="str">
        <x:v>Upcoming/past tabs; speaker cards; registration; reminders; recordings; related resources.</x:v>
      </x:c>
      <x:c r="H80" s="48" t="str">
        <x:v>Register for Webinar</x:v>
      </x:c>
      <x:c r="I80" s="48" t="str">
        <x:v>Watch Recordings</x:v>
      </x:c>
      <x:c r="J80" s="48" t="str">
        <x:v>Event CMS</x:v>
      </x:c>
      <x:c r="K80" s="48" t="str">
        <x:v>Webinar/event editor</x:v>
      </x:c>
      <x:c r="L80" s="48" t="str">
        <x:v>P2</x:v>
      </x:c>
      <x:c r="M80" s="48" t="str">
        <x:v>Index</x:v>
      </x:c>
      <x:c r="N80" s="48" t="str"/>
      <x:c r="O80" s="48" t="str">
        <x:v>Backlog</x:v>
      </x:c>
      <x:c r="P80" s="48" t="str"/>
    </x:row>
    <x:row r="81">
      <x:c r="A81" s="48" t="str">
        <x:v>WEB-077</x:v>
      </x:c>
      <x:c r="B81" s="48" t="str">
        <x:v>Resources</x:v>
      </x:c>
      <x:c r="C81" s="48" t="str">
        <x:v>Events</x:v>
      </x:c>
      <x:c r="D81" s="48" t="str">
        <x:v>/events</x:v>
      </x:c>
      <x:c r="E81" s="48" t="str">
        <x:v>All</x:v>
      </x:c>
      <x:c r="F81" s="48" t="str">
        <x:v>Promote workshops, campus events, and enterprise sessions.</x:v>
      </x:c>
      <x:c r="G81" s="48" t="str">
        <x:v>Upcoming/past events; location/online; registration; speakers; agenda; event detail links.</x:v>
      </x:c>
      <x:c r="H81" s="48" t="str">
        <x:v>Register</x:v>
      </x:c>
      <x:c r="I81" s="48" t="str">
        <x:v>View Upcoming Events</x:v>
      </x:c>
      <x:c r="J81" s="48" t="str">
        <x:v>Event CMS</x:v>
      </x:c>
      <x:c r="K81" s="48" t="str">
        <x:v>Event manager</x:v>
      </x:c>
      <x:c r="L81" s="48" t="str">
        <x:v>P2</x:v>
      </x:c>
      <x:c r="M81" s="48" t="str">
        <x:v>Index</x:v>
      </x:c>
      <x:c r="N81" s="48" t="str"/>
      <x:c r="O81" s="48" t="str">
        <x:v>Backlog</x:v>
      </x:c>
      <x:c r="P81" s="48" t="str"/>
    </x:row>
    <x:row r="82">
      <x:c r="A82" s="48" t="str">
        <x:v>WEB-078</x:v>
      </x:c>
      <x:c r="B82" s="48" t="str">
        <x:v>Resources</x:v>
      </x:c>
      <x:c r="C82" s="48" t="str">
        <x:v>Reports &amp; Research</x:v>
      </x:c>
      <x:c r="D82" s="48" t="str">
        <x:v>/reports</x:v>
      </x:c>
      <x:c r="E82" s="48" t="str">
        <x:v>B2B buyers / Media</x:v>
      </x:c>
      <x:c r="F82" s="48" t="str">
        <x:v>Build authority through research and proprietary insights.</x:v>
      </x:c>
      <x:c r="G82" s="48" t="str">
        <x:v>Report cards; summaries; methodology; downloadable report; lead form where relevant; citations.</x:v>
      </x:c>
      <x:c r="H82" s="48" t="str">
        <x:v>Download Report</x:v>
      </x:c>
      <x:c r="I82" s="48" t="str">
        <x:v>Talk to Our Team</x:v>
      </x:c>
      <x:c r="J82" s="48" t="str">
        <x:v>Resource CMS</x:v>
      </x:c>
      <x:c r="K82" s="48" t="str">
        <x:v>Report publishing</x:v>
      </x:c>
      <x:c r="L82" s="48" t="str">
        <x:v>P2</x:v>
      </x:c>
      <x:c r="M82" s="48" t="str">
        <x:v>Index</x:v>
      </x:c>
      <x:c r="N82" s="48" t="str"/>
      <x:c r="O82" s="48" t="str">
        <x:v>Backlog</x:v>
      </x:c>
      <x:c r="P82" s="48" t="str"/>
    </x:row>
    <x:row r="83">
      <x:c r="A83" s="48" t="str">
        <x:v>WEB-079</x:v>
      </x:c>
      <x:c r="B83" s="48" t="str">
        <x:v>Customers</x:v>
      </x:c>
      <x:c r="C83" s="48" t="str">
        <x:v>Customer Stories Hub</x:v>
      </x:c>
      <x:c r="D83" s="48" t="str">
        <x:v>/customers</x:v>
      </x:c>
      <x:c r="E83" s="48" t="str">
        <x:v>All buyers</x:v>
      </x:c>
      <x:c r="F83" s="48" t="str">
        <x:v>Consolidate social proof by audience.</x:v>
      </x:c>
      <x:c r="G83" s="48" t="str">
        <x:v>Student/college/enterprise filters; outcome cards; metrics; video stories; logos; case-study links.</x:v>
      </x:c>
      <x:c r="H83" s="48" t="str">
        <x:v>Explore Customer Stories</x:v>
      </x:c>
      <x:c r="I83" s="48" t="str">
        <x:v>Book a Demo</x:v>
      </x:c>
      <x:c r="J83" s="48" t="str">
        <x:v>Case Study CMS</x:v>
      </x:c>
      <x:c r="K83" s="48" t="str">
        <x:v>Case-study catalog</x:v>
      </x:c>
      <x:c r="L83" s="48" t="str">
        <x:v>P1</x:v>
      </x:c>
      <x:c r="M83" s="48" t="str">
        <x:v>Index</x:v>
      </x:c>
      <x:c r="N83" s="48" t="str"/>
      <x:c r="O83" s="48" t="str">
        <x:v>Backlog</x:v>
      </x:c>
      <x:c r="P83" s="48" t="str"/>
    </x:row>
    <x:row r="84">
      <x:c r="A84" s="48" t="str">
        <x:v>WEB-080</x:v>
      </x:c>
      <x:c r="B84" s="48" t="str">
        <x:v>Customers</x:v>
      </x:c>
      <x:c r="C84" s="48" t="str">
        <x:v>Case Study Detail Template</x:v>
      </x:c>
      <x:c r="D84" s="48" t="str">
        <x:v>/customers/[slug]</x:v>
      </x:c>
      <x:c r="E84" s="48" t="str">
        <x:v>B2B buyers</x:v>
      </x:c>
      <x:c r="F84" s="48" t="str">
        <x:v>Provide evidence of implementation and outcomes.</x:v>
      </x:c>
      <x:c r="G84" s="48" t="str">
        <x:v>Customer profile; challenge; solution; implementation; adoption; measurable outcomes; quote; screenshots; related solution.</x:v>
      </x:c>
      <x:c r="H84" s="48" t="str">
        <x:v>Book a Demo</x:v>
      </x:c>
      <x:c r="I84" s="48" t="str">
        <x:v>Explore the Solution</x:v>
      </x:c>
      <x:c r="J84" s="48" t="str">
        <x:v>Case Study CMS</x:v>
      </x:c>
      <x:c r="K84" s="48" t="str">
        <x:v>Case-study editor</x:v>
      </x:c>
      <x:c r="L84" s="48" t="str">
        <x:v>P1</x:v>
      </x:c>
      <x:c r="M84" s="48" t="str">
        <x:v>Index</x:v>
      </x:c>
      <x:c r="N84" s="48" t="str">
        <x:v>Programmatic template</x:v>
      </x:c>
      <x:c r="O84" s="48" t="str">
        <x:v>Backlog</x:v>
      </x:c>
      <x:c r="P84" s="48" t="str"/>
    </x:row>
    <x:row r="85">
      <x:c r="A85" s="48" t="str">
        <x:v>WEB-081</x:v>
      </x:c>
      <x:c r="B85" s="48" t="str">
        <x:v>Pricing &amp; Conversion</x:v>
      </x:c>
      <x:c r="C85" s="48" t="str">
        <x:v>Pricing Overview</x:v>
      </x:c>
      <x:c r="D85" s="48" t="str">
        <x:v>/pricing</x:v>
      </x:c>
      <x:c r="E85" s="48" t="str">
        <x:v>All</x:v>
      </x:c>
      <x:c r="F85" s="48" t="str">
        <x:v>Route users to appropriate pricing motion.</x:v>
      </x:c>
      <x:c r="G85" s="48" t="str">
        <x:v>Student pricing summary; college/enterprise contact-sales cards; plan comparison; FAQs; billing notes.</x:v>
      </x:c>
      <x:c r="H85" s="48" t="str">
        <x:v>Choose a Plan</x:v>
      </x:c>
      <x:c r="I85" s="48" t="str">
        <x:v>Talk to Sales</x:v>
      </x:c>
      <x:c r="J85" s="48" t="str">
        <x:v>Pricing CMS</x:v>
      </x:c>
      <x:c r="K85" s="48" t="str">
        <x:v>Pricing cards and FAQs</x:v>
      </x:c>
      <x:c r="L85" s="48" t="str">
        <x:v>P0</x:v>
      </x:c>
      <x:c r="M85" s="48" t="str">
        <x:v>Index</x:v>
      </x:c>
      <x:c r="N85" s="48" t="str"/>
      <x:c r="O85" s="48" t="str">
        <x:v>Backlog</x:v>
      </x:c>
      <x:c r="P85" s="48" t="str"/>
    </x:row>
    <x:row r="86">
      <x:c r="A86" s="48" t="str">
        <x:v>WEB-082</x:v>
      </x:c>
      <x:c r="B86" s="48" t="str">
        <x:v>Pricing &amp; Conversion</x:v>
      </x:c>
      <x:c r="C86" s="48" t="str">
        <x:v>Student Pricing</x:v>
      </x:c>
      <x:c r="D86" s="48" t="str">
        <x:v>/pricing/students</x:v>
      </x:c>
      <x:c r="E86" s="48" t="str">
        <x:v>Students</x:v>
      </x:c>
      <x:c r="F86" s="48" t="str">
        <x:v>Convert B2C traffic into subscription.</x:v>
      </x:c>
      <x:c r="G86" s="48" t="str">
        <x:v>Monthly/annual plans; feature comparison; trial/coupon handling; FAQs; refund/cancellation links.</x:v>
      </x:c>
      <x:c r="H86" s="48" t="str">
        <x:v>Start Subscription</x:v>
      </x:c>
      <x:c r="I86" s="48" t="str">
        <x:v>Start Free Experience</x:v>
      </x:c>
      <x:c r="J86" s="48" t="str">
        <x:v>Pricing CMS</x:v>
      </x:c>
      <x:c r="K86" s="48" t="str">
        <x:v>Student plan configuration display</x:v>
      </x:c>
      <x:c r="L86" s="48" t="str">
        <x:v>P0</x:v>
      </x:c>
      <x:c r="M86" s="48" t="str">
        <x:v>Index</x:v>
      </x:c>
      <x:c r="N86" s="48" t="str">
        <x:v>Commerce logic may live in app</x:v>
      </x:c>
      <x:c r="O86" s="48" t="str">
        <x:v>Backlog</x:v>
      </x:c>
      <x:c r="P86" s="48" t="str"/>
    </x:row>
    <x:row r="87">
      <x:c r="A87" s="48" t="str">
        <x:v>WEB-083</x:v>
      </x:c>
      <x:c r="B87" s="48" t="str">
        <x:v>Pricing &amp; Conversion</x:v>
      </x:c>
      <x:c r="C87" s="48" t="str">
        <x:v>College Pricing</x:v>
      </x:c>
      <x:c r="D87" s="48" t="str">
        <x:v>/pricing/colleges</x:v>
      </x:c>
      <x:c r="E87" s="48" t="str">
        <x:v>College Management / TPO</x:v>
      </x:c>
      <x:c r="F87" s="48" t="str">
        <x:v>Explain commercial model without forcing consumer pricing onto institutions.</x:v>
      </x:c>
      <x:c r="G87" s="48" t="str">
        <x:v>What pricing depends on; inclusions; implementation; optional modules; procurement FAQ; contact form.</x:v>
      </x:c>
      <x:c r="H87" s="48" t="str">
        <x:v>Request College Pricing</x:v>
      </x:c>
      <x:c r="I87" s="48" t="str">
        <x:v>Book a Demo</x:v>
      </x:c>
      <x:c r="J87" s="48" t="str">
        <x:v>Page CMS</x:v>
      </x:c>
      <x:c r="K87" s="48" t="str">
        <x:v>College pricing content</x:v>
      </x:c>
      <x:c r="L87" s="48" t="str">
        <x:v>P1</x:v>
      </x:c>
      <x:c r="M87" s="48" t="str">
        <x:v>Index</x:v>
      </x:c>
      <x:c r="N87" s="48" t="str"/>
      <x:c r="O87" s="48" t="str">
        <x:v>Backlog</x:v>
      </x:c>
      <x:c r="P87" s="48" t="str"/>
    </x:row>
    <x:row r="88">
      <x:c r="A88" s="48" t="str">
        <x:v>WEB-084</x:v>
      </x:c>
      <x:c r="B88" s="48" t="str">
        <x:v>Pricing &amp; Conversion</x:v>
      </x:c>
      <x:c r="C88" s="48" t="str">
        <x:v>Enterprise Pricing</x:v>
      </x:c>
      <x:c r="D88" s="48" t="str">
        <x:v>/pricing/enterprise</x:v>
      </x:c>
      <x:c r="E88" s="48" t="str">
        <x:v>Enterprise Buyers</x:v>
      </x:c>
      <x:c r="F88" s="48" t="str">
        <x:v>Explain enterprise packaging and move buyers into sales.</x:v>
      </x:c>
      <x:c r="G88" s="48" t="str">
        <x:v>Packaging principles; inclusions; deployment; integrations; support; security review; procurement FAQ.</x:v>
      </x:c>
      <x:c r="H88" s="48" t="str">
        <x:v>Request Enterprise Pricing</x:v>
      </x:c>
      <x:c r="I88" s="48" t="str">
        <x:v>Book a Demo</x:v>
      </x:c>
      <x:c r="J88" s="48" t="str">
        <x:v>Page CMS</x:v>
      </x:c>
      <x:c r="K88" s="48" t="str">
        <x:v>Enterprise pricing content</x:v>
      </x:c>
      <x:c r="L88" s="48" t="str">
        <x:v>P1</x:v>
      </x:c>
      <x:c r="M88" s="48" t="str">
        <x:v>Index</x:v>
      </x:c>
      <x:c r="N88" s="48" t="str"/>
      <x:c r="O88" s="48" t="str">
        <x:v>Backlog</x:v>
      </x:c>
      <x:c r="P88" s="48" t="str"/>
    </x:row>
    <x:row r="89">
      <x:c r="A89" s="48" t="str">
        <x:v>WEB-085</x:v>
      </x:c>
      <x:c r="B89" s="48" t="str">
        <x:v>Pricing &amp; Conversion</x:v>
      </x:c>
      <x:c r="C89" s="48" t="str">
        <x:v>Book Demo</x:v>
      </x:c>
      <x:c r="D89" s="48" t="str">
        <x:v>/book-demo</x:v>
      </x:c>
      <x:c r="E89" s="48" t="str">
        <x:v>College / Enterprise Buyers</x:v>
      </x:c>
      <x:c r="F89" s="48" t="str">
        <x:v>Capture qualified demo intent.</x:v>
      </x:c>
      <x:c r="G89" s="48" t="str">
        <x:v>Short form; audience selector; work email; organization; role; phone optional; use case; scheduling handoff; UTM capture; consent; thank-you state.</x:v>
      </x:c>
      <x:c r="H89" s="48" t="str">
        <x:v>Book My Demo</x:v>
      </x:c>
      <x:c r="I89" s="48" t="str">
        <x:v>Contact Sales</x:v>
      </x:c>
      <x:c r="J89" s="48" t="str">
        <x:v>Lead Admin</x:v>
      </x:c>
      <x:c r="K89" s="48" t="str">
        <x:v>Demo form configuration and routing</x:v>
      </x:c>
      <x:c r="L89" s="48" t="str">
        <x:v>P0</x:v>
      </x:c>
      <x:c r="M89" s="48" t="str">
        <x:v>Index</x:v>
      </x:c>
      <x:c r="N89" s="48" t="str">
        <x:v>CRM integration</x:v>
      </x:c>
      <x:c r="O89" s="48" t="str">
        <x:v>Backlog</x:v>
      </x:c>
      <x:c r="P89" s="48" t="str"/>
    </x:row>
    <x:row r="90">
      <x:c r="A90" s="48" t="str">
        <x:v>WEB-086</x:v>
      </x:c>
      <x:c r="B90" s="48" t="str">
        <x:v>Pricing &amp; Conversion</x:v>
      </x:c>
      <x:c r="C90" s="48" t="str">
        <x:v>Contact Sales</x:v>
      </x:c>
      <x:c r="D90" s="48" t="str">
        <x:v>/contact-sales</x:v>
      </x:c>
      <x:c r="E90" s="48" t="str">
        <x:v>B2B buyers</x:v>
      </x:c>
      <x:c r="F90" s="48" t="str">
        <x:v>Capture sales conversations that are not ready for a demo slot.</x:v>
      </x:c>
      <x:c r="G90" s="48" t="str">
        <x:v>Contact form; segment; use case; organization; work email; optional message; routing; SLA expectation.</x:v>
      </x:c>
      <x:c r="H90" s="48" t="str">
        <x:v>Contact Sales</x:v>
      </x:c>
      <x:c r="I90" s="48" t="str">
        <x:v>Book a Demo</x:v>
      </x:c>
      <x:c r="J90" s="48" t="str">
        <x:v>Lead Admin</x:v>
      </x:c>
      <x:c r="K90" s="48" t="str">
        <x:v>Lead routing</x:v>
      </x:c>
      <x:c r="L90" s="48" t="str">
        <x:v>P0</x:v>
      </x:c>
      <x:c r="M90" s="48" t="str">
        <x:v>Index</x:v>
      </x:c>
      <x:c r="N90" s="48" t="str"/>
      <x:c r="O90" s="48" t="str">
        <x:v>Backlog</x:v>
      </x:c>
      <x:c r="P90" s="48" t="str"/>
    </x:row>
    <x:row r="91">
      <x:c r="A91" s="48" t="str">
        <x:v>WEB-087</x:v>
      </x:c>
      <x:c r="B91" s="48" t="str">
        <x:v>Pricing &amp; Conversion</x:v>
      </x:c>
      <x:c r="C91" s="48" t="str">
        <x:v>Get Started</x:v>
      </x:c>
      <x:c r="D91" s="48" t="str">
        <x:v>/start</x:v>
      </x:c>
      <x:c r="E91" s="48" t="str">
        <x:v>Students</x:v>
      </x:c>
      <x:c r="F91" s="48" t="str">
        <x:v>Provide one clean entry point into Pathwisse.</x:v>
      </x:c>
      <x:c r="G91" s="48" t="str">
        <x:v>Persona selection; login/signup path; career goal quick start; analytics; deep link into app.</x:v>
      </x:c>
      <x:c r="H91" s="48" t="str">
        <x:v>Get Started</x:v>
      </x:c>
      <x:c r="I91" s="48" t="str">
        <x:v>Explore Roadmaps</x:v>
      </x:c>
      <x:c r="J91" s="48" t="str">
        <x:v>Product-managed</x:v>
      </x:c>
      <x:c r="K91" s="48" t="str">
        <x:v>Entry routing config</x:v>
      </x:c>
      <x:c r="L91" s="48" t="str">
        <x:v>P0</x:v>
      </x:c>
      <x:c r="M91" s="48" t="str">
        <x:v>Index</x:v>
      </x:c>
      <x:c r="N91" s="48" t="str"/>
      <x:c r="O91" s="48" t="str">
        <x:v>Backlog</x:v>
      </x:c>
      <x:c r="P91" s="48" t="str"/>
    </x:row>
    <x:row r="92">
      <x:c r="A92" s="48" t="str">
        <x:v>WEB-088</x:v>
      </x:c>
      <x:c r="B92" s="48" t="str">
        <x:v>Pricing &amp; Conversion</x:v>
      </x:c>
      <x:c r="C92" s="48" t="str">
        <x:v>Career Assessment Landing</x:v>
      </x:c>
      <x:c r="D92" s="48" t="str">
        <x:v>/career-assessment</x:v>
      </x:c>
      <x:c r="E92" s="48" t="str">
        <x:v>Students</x:v>
      </x:c>
      <x:c r="F92" s="48" t="str">
        <x:v>Acquire leads/users through a useful free assessment.</x:v>
      </x:c>
      <x:c r="G92" s="48" t="str">
        <x:v>Assessment promise; time required; privacy; sample output; start flow; FAQs.</x:v>
      </x:c>
      <x:c r="H92" s="48" t="str">
        <x:v>Start Free Assessment</x:v>
      </x:c>
      <x:c r="I92" s="48" t="str">
        <x:v>Explore Careers</x:v>
      </x:c>
      <x:c r="J92" s="48" t="str">
        <x:v>Assessment Admin</x:v>
      </x:c>
      <x:c r="K92" s="48" t="str">
        <x:v>Assessment landing/content</x:v>
      </x:c>
      <x:c r="L92" s="48" t="str">
        <x:v>P0</x:v>
      </x:c>
      <x:c r="M92" s="48" t="str">
        <x:v>Index</x:v>
      </x:c>
      <x:c r="N92" s="48" t="str"/>
      <x:c r="O92" s="48" t="str">
        <x:v>Backlog</x:v>
      </x:c>
      <x:c r="P92" s="48" t="str"/>
    </x:row>
    <x:row r="93">
      <x:c r="A93" s="48" t="str">
        <x:v>WEB-089</x:v>
      </x:c>
      <x:c r="B93" s="48" t="str">
        <x:v>Pricing &amp; Conversion</x:v>
      </x:c>
      <x:c r="C93" s="48" t="str">
        <x:v>Career Readiness Check</x:v>
      </x:c>
      <x:c r="D93" s="48" t="str">
        <x:v>/readiness-check</x:v>
      </x:c>
      <x:c r="E93" s="48" t="str">
        <x:v>Students</x:v>
      </x:c>
      <x:c r="F93" s="48" t="str">
        <x:v>Use a free readiness diagnostic as an acquisition loop.</x:v>
      </x:c>
      <x:c r="G93" s="48" t="str">
        <x:v>Diagnostic intro; dimensions; questions/start; result preview; privacy; FAQs.</x:v>
      </x:c>
      <x:c r="H93" s="48" t="str">
        <x:v>Check My Readiness</x:v>
      </x:c>
      <x:c r="I93" s="48" t="str">
        <x:v>Explore Roadmaps</x:v>
      </x:c>
      <x:c r="J93" s="48" t="str">
        <x:v>Assessment Admin</x:v>
      </x:c>
      <x:c r="K93" s="48" t="str">
        <x:v>Readiness assessment config</x:v>
      </x:c>
      <x:c r="L93" s="48" t="str">
        <x:v>P0</x:v>
      </x:c>
      <x:c r="M93" s="48" t="str">
        <x:v>Index</x:v>
      </x:c>
      <x:c r="N93" s="48" t="str"/>
      <x:c r="O93" s="48" t="str">
        <x:v>Backlog</x:v>
      </x:c>
      <x:c r="P93" s="48" t="str"/>
    </x:row>
    <x:row r="94">
      <x:c r="A94" s="48" t="str">
        <x:v>WEB-090</x:v>
      </x:c>
      <x:c r="B94" s="48" t="str">
        <x:v>Developers &amp; Integrations</x:v>
      </x:c>
      <x:c r="C94" s="48" t="str">
        <x:v>Integrations Hub</x:v>
      </x:c>
      <x:c r="D94" s="48" t="str">
        <x:v>/integrations</x:v>
      </x:c>
      <x:c r="E94" s="48" t="str">
        <x:v>Enterprise / Colleges / IT</x:v>
      </x:c>
      <x:c r="F94" s="48" t="str">
        <x:v>Show available and planned integrations.</x:v>
      </x:c>
      <x:c r="G94" s="48" t="str">
        <x:v>Search/filter; integration cards; categories; status; setup overview; request integration CTA.</x:v>
      </x:c>
      <x:c r="H94" s="48" t="str">
        <x:v>Explore Integrations</x:v>
      </x:c>
      <x:c r="I94" s="48" t="str">
        <x:v>Request an Integration</x:v>
      </x:c>
      <x:c r="J94" s="48" t="str">
        <x:v>Integration CMS</x:v>
      </x:c>
      <x:c r="K94" s="48" t="str">
        <x:v>Integration catalog</x:v>
      </x:c>
      <x:c r="L94" s="48" t="str">
        <x:v>P1</x:v>
      </x:c>
      <x:c r="M94" s="48" t="str">
        <x:v>Index</x:v>
      </x:c>
      <x:c r="N94" s="48" t="str"/>
      <x:c r="O94" s="48" t="str">
        <x:v>Backlog</x:v>
      </x:c>
      <x:c r="P94" s="48" t="str"/>
    </x:row>
    <x:row r="95">
      <x:c r="A95" s="48" t="str">
        <x:v>WEB-091</x:v>
      </x:c>
      <x:c r="B95" s="48" t="str">
        <x:v>Developers &amp; Integrations</x:v>
      </x:c>
      <x:c r="C95" s="48" t="str">
        <x:v>Integration Detail Template</x:v>
      </x:c>
      <x:c r="D95" s="48" t="str">
        <x:v>/integrations/[slug]</x:v>
      </x:c>
      <x:c r="E95" s="48" t="str">
        <x:v>IT / Admins</x:v>
      </x:c>
      <x:c r="F95" s="48" t="str">
        <x:v>Explain one integration and implementation requirements.</x:v>
      </x:c>
      <x:c r="G95" s="48" t="str">
        <x:v>Use cases; supported data; setup; authentication; permissions; limitations; support; docs links.</x:v>
      </x:c>
      <x:c r="H95" s="48" t="str">
        <x:v>Set Up Integration</x:v>
      </x:c>
      <x:c r="I95" s="48" t="str">
        <x:v>Talk to Integration Team</x:v>
      </x:c>
      <x:c r="J95" s="48" t="str">
        <x:v>Integration CMS</x:v>
      </x:c>
      <x:c r="K95" s="48" t="str">
        <x:v>Integration editor</x:v>
      </x:c>
      <x:c r="L95" s="48" t="str">
        <x:v>P2</x:v>
      </x:c>
      <x:c r="M95" s="48" t="str">
        <x:v>Index</x:v>
      </x:c>
      <x:c r="N95" s="48" t="str">
        <x:v>Dynamic</x:v>
      </x:c>
      <x:c r="O95" s="48" t="str">
        <x:v>Backlog</x:v>
      </x:c>
      <x:c r="P95" s="48" t="str"/>
    </x:row>
    <x:row r="96">
      <x:c r="A96" s="48" t="str">
        <x:v>WEB-092</x:v>
      </x:c>
      <x:c r="B96" s="48" t="str">
        <x:v>Developers &amp; Integrations</x:v>
      </x:c>
      <x:c r="C96" s="48" t="str">
        <x:v>Developer Portal</x:v>
      </x:c>
      <x:c r="D96" s="48" t="str">
        <x:v>/developers</x:v>
      </x:c>
      <x:c r="E96" s="48" t="str">
        <x:v>Developers / IT</x:v>
      </x:c>
      <x:c r="F96" s="48" t="str">
        <x:v>Provide a technical entry point for integrations.</x:v>
      </x:c>
      <x:c r="G96" s="48" t="str">
        <x:v>API overview; auth; webhooks; SDK links; quick start; environments; changelog; support.</x:v>
      </x:c>
      <x:c r="H96" s="48" t="str">
        <x:v>View API Docs</x:v>
      </x:c>
      <x:c r="I96" s="48" t="str">
        <x:v>Request API Access</x:v>
      </x:c>
      <x:c r="J96" s="48" t="str">
        <x:v>Developer Docs CMS</x:v>
      </x:c>
      <x:c r="K96" s="48" t="str">
        <x:v>Developer landing</x:v>
      </x:c>
      <x:c r="L96" s="48" t="str">
        <x:v>P2</x:v>
      </x:c>
      <x:c r="M96" s="48" t="str">
        <x:v>Index</x:v>
      </x:c>
      <x:c r="N96" s="48" t="str"/>
      <x:c r="O96" s="48" t="str">
        <x:v>Backlog</x:v>
      </x:c>
      <x:c r="P96" s="48" t="str"/>
    </x:row>
    <x:row r="97">
      <x:c r="A97" s="48" t="str">
        <x:v>WEB-093</x:v>
      </x:c>
      <x:c r="B97" s="48" t="str">
        <x:v>Developers &amp; Integrations</x:v>
      </x:c>
      <x:c r="C97" s="48" t="str">
        <x:v>API Documentation</x:v>
      </x:c>
      <x:c r="D97" s="48" t="str">
        <x:v>/developers/api</x:v>
      </x:c>
      <x:c r="E97" s="48" t="str">
        <x:v>Developers</x:v>
      </x:c>
      <x:c r="F97" s="48" t="str">
        <x:v>Document public/partner APIs.</x:v>
      </x:c>
      <x:c r="G97" s="48" t="str">
        <x:v>API reference; endpoints; request/response examples; auth; errors; rate limits; pagination; versioning.</x:v>
      </x:c>
      <x:c r="H97" s="48" t="str">
        <x:v>Get API Access</x:v>
      </x:c>
      <x:c r="I97" s="48" t="str">
        <x:v>View Authentication Guide</x:v>
      </x:c>
      <x:c r="J97" s="48" t="str">
        <x:v>Developer Docs CMS</x:v>
      </x:c>
      <x:c r="K97" s="48" t="str">
        <x:v>API documentation</x:v>
      </x:c>
      <x:c r="L97" s="48" t="str">
        <x:v>P2</x:v>
      </x:c>
      <x:c r="M97" s="48" t="str">
        <x:v>Index</x:v>
      </x:c>
      <x:c r="N97" s="48" t="str"/>
      <x:c r="O97" s="48" t="str">
        <x:v>Backlog</x:v>
      </x:c>
      <x:c r="P97" s="48" t="str"/>
    </x:row>
    <x:row r="98">
      <x:c r="A98" s="48" t="str">
        <x:v>WEB-094</x:v>
      </x:c>
      <x:c r="B98" s="48" t="str">
        <x:v>Developers &amp; Integrations</x:v>
      </x:c>
      <x:c r="C98" s="48" t="str">
        <x:v>Webhooks</x:v>
      </x:c>
      <x:c r="D98" s="48" t="str">
        <x:v>/developers/webhooks</x:v>
      </x:c>
      <x:c r="E98" s="48" t="str">
        <x:v>Developers</x:v>
      </x:c>
      <x:c r="F98" s="48" t="str">
        <x:v>Explain event-driven integration support.</x:v>
      </x:c>
      <x:c r="G98" s="48" t="str">
        <x:v>Webhook events; payload examples; signing; retries; idempotency; testing; troubleshooting.</x:v>
      </x:c>
      <x:c r="H98" s="48" t="str">
        <x:v>Set Up Webhooks</x:v>
      </x:c>
      <x:c r="I98" s="48" t="str">
        <x:v>View API Docs</x:v>
      </x:c>
      <x:c r="J98" s="48" t="str">
        <x:v>Developer Docs CMS</x:v>
      </x:c>
      <x:c r="K98" s="48" t="str">
        <x:v>Webhook docs</x:v>
      </x:c>
      <x:c r="L98" s="48" t="str">
        <x:v>P3</x:v>
      </x:c>
      <x:c r="M98" s="48" t="str">
        <x:v>Index</x:v>
      </x:c>
      <x:c r="N98" s="48" t="str"/>
      <x:c r="O98" s="48" t="str">
        <x:v>Backlog</x:v>
      </x:c>
      <x:c r="P98" s="48" t="str"/>
    </x:row>
    <x:row r="99">
      <x:c r="A99" s="48" t="str">
        <x:v>WEB-095</x:v>
      </x:c>
      <x:c r="B99" s="48" t="str">
        <x:v>Trust &amp; Legal</x:v>
      </x:c>
      <x:c r="C99" s="48" t="str">
        <x:v>Trust Center</x:v>
      </x:c>
      <x:c r="D99" s="48" t="str">
        <x:v>/trust</x:v>
      </x:c>
      <x:c r="E99" s="48" t="str">
        <x:v>Enterprise / College Buyers</x:v>
      </x:c>
      <x:c r="F99" s="48" t="str">
        <x:v>Centralize security, privacy, compliance, uptime, and procurement trust material.</x:v>
      </x:c>
      <x:c r="G99" s="48" t="str">
        <x:v>Security overview; privacy; data handling; certifications/status; subprocessors; responsible disclosure; status; document request.</x:v>
      </x:c>
      <x:c r="H99" s="48" t="str">
        <x:v>Request Security Documents</x:v>
      </x:c>
      <x:c r="I99" s="48" t="str">
        <x:v>Contact Security</x:v>
      </x:c>
      <x:c r="J99" s="48" t="str">
        <x:v>Trust CMS</x:v>
      </x:c>
      <x:c r="K99" s="48" t="str">
        <x:v>Trust-center document/config manager</x:v>
      </x:c>
      <x:c r="L99" s="48" t="str">
        <x:v>P0</x:v>
      </x:c>
      <x:c r="M99" s="48" t="str">
        <x:v>Index</x:v>
      </x:c>
      <x:c r="N99" s="48" t="str"/>
      <x:c r="O99" s="48" t="str">
        <x:v>Backlog</x:v>
      </x:c>
      <x:c r="P99" s="48" t="str"/>
    </x:row>
    <x:row r="100">
      <x:c r="A100" s="48" t="str">
        <x:v>WEB-096</x:v>
      </x:c>
      <x:c r="B100" s="48" t="str">
        <x:v>Trust &amp; Legal</x:v>
      </x:c>
      <x:c r="C100" s="48" t="str">
        <x:v>Security</x:v>
      </x:c>
      <x:c r="D100" s="48" t="str">
        <x:v>/security</x:v>
      </x:c>
      <x:c r="E100" s="48" t="str">
        <x:v>Security / IT</x:v>
      </x:c>
      <x:c r="F100" s="48" t="str">
        <x:v>Answer security architecture and control questions.</x:v>
      </x:c>
      <x:c r="G100" s="48" t="str">
        <x:v>Encryption; access controls; RBAC; MFA; SSO; logging; backup; vulnerability management; incident response; contact.</x:v>
      </x:c>
      <x:c r="H100" s="48" t="str">
        <x:v>Contact Security</x:v>
      </x:c>
      <x:c r="I100" s="48" t="str">
        <x:v>Visit Trust Center</x:v>
      </x:c>
      <x:c r="J100" s="48" t="str">
        <x:v>Trust CMS</x:v>
      </x:c>
      <x:c r="K100" s="48" t="str">
        <x:v>Security content</x:v>
      </x:c>
      <x:c r="L100" s="48" t="str">
        <x:v>P0</x:v>
      </x:c>
      <x:c r="M100" s="48" t="str">
        <x:v>Index</x:v>
      </x:c>
      <x:c r="N100" s="48" t="str"/>
      <x:c r="O100" s="48" t="str">
        <x:v>Backlog</x:v>
      </x:c>
      <x:c r="P100" s="48" t="str"/>
    </x:row>
    <x:row r="101">
      <x:c r="A101" s="48" t="str">
        <x:v>WEB-097</x:v>
      </x:c>
      <x:c r="B101" s="48" t="str">
        <x:v>Trust &amp; Legal</x:v>
      </x:c>
      <x:c r="C101" s="48" t="str">
        <x:v>Responsible AI</x:v>
      </x:c>
      <x:c r="D101" s="48" t="str">
        <x:v>/responsible-ai</x:v>
      </x:c>
      <x:c r="E101" s="48" t="str">
        <x:v>All / Procurement</x:v>
      </x:c>
      <x:c r="F101" s="48" t="str">
        <x:v>Explain AI governance and limitations.</x:v>
      </x:c>
      <x:c r="G101" s="48" t="str">
        <x:v>AI use cases; human oversight; privacy; model/data handling; evaluation; safety; limitations; feedback channel.</x:v>
      </x:c>
      <x:c r="H101" s="48" t="str">
        <x:v>Learn About Pathwisse AI</x:v>
      </x:c>
      <x:c r="I101" s="48" t="str">
        <x:v>Contact Us</x:v>
      </x:c>
      <x:c r="J101" s="48" t="str">
        <x:v>Trust CMS</x:v>
      </x:c>
      <x:c r="K101" s="48" t="str">
        <x:v>Responsible AI policy content</x:v>
      </x:c>
      <x:c r="L101" s="48" t="str">
        <x:v>P1</x:v>
      </x:c>
      <x:c r="M101" s="48" t="str">
        <x:v>Index</x:v>
      </x:c>
      <x:c r="N101" s="48" t="str"/>
      <x:c r="O101" s="48" t="str">
        <x:v>Backlog</x:v>
      </x:c>
      <x:c r="P101" s="48" t="str"/>
    </x:row>
    <x:row r="102">
      <x:c r="A102" s="48" t="str">
        <x:v>WEB-098</x:v>
      </x:c>
      <x:c r="B102" s="48" t="str">
        <x:v>Trust &amp; Legal</x:v>
      </x:c>
      <x:c r="C102" s="48" t="str">
        <x:v>Privacy Policy</x:v>
      </x:c>
      <x:c r="D102" s="48" t="str">
        <x:v>/privacy-policy</x:v>
      </x:c>
      <x:c r="E102" s="48" t="str">
        <x:v>All</x:v>
      </x:c>
      <x:c r="F102" s="48" t="str">
        <x:v>Publish privacy practices and user rights.</x:v>
      </x:c>
      <x:c r="G102" s="48" t="str">
        <x:v>Data collected; purposes; sharing; retention; rights; cookies; contact; version/date.</x:v>
      </x:c>
      <x:c r="H102" s="48" t="str">
        <x:v>Manage Privacy Preferences</x:v>
      </x:c>
      <x:c r="I102" s="48" t="str">
        <x:v>Contact Privacy Team</x:v>
      </x:c>
      <x:c r="J102" s="48" t="str">
        <x:v>Legal CMS</x:v>
      </x:c>
      <x:c r="K102" s="48" t="str">
        <x:v>Versioned legal document</x:v>
      </x:c>
      <x:c r="L102" s="48" t="str">
        <x:v>P0</x:v>
      </x:c>
      <x:c r="M102" s="48" t="str">
        <x:v>Index</x:v>
      </x:c>
      <x:c r="N102" s="48" t="str">
        <x:v>Legal review required</x:v>
      </x:c>
      <x:c r="O102" s="48" t="str">
        <x:v>Backlog</x:v>
      </x:c>
      <x:c r="P102" s="48" t="str"/>
    </x:row>
    <x:row r="103">
      <x:c r="A103" s="48" t="str">
        <x:v>WEB-099</x:v>
      </x:c>
      <x:c r="B103" s="48" t="str">
        <x:v>Trust &amp; Legal</x:v>
      </x:c>
      <x:c r="C103" s="48" t="str">
        <x:v>Terms of Service</x:v>
      </x:c>
      <x:c r="D103" s="48" t="str">
        <x:v>/terms</x:v>
      </x:c>
      <x:c r="E103" s="48" t="str">
        <x:v>All</x:v>
      </x:c>
      <x:c r="F103" s="48" t="str">
        <x:v>Publish service terms.</x:v>
      </x:c>
      <x:c r="G103" s="48" t="str">
        <x:v>Eligibility; accounts; acceptable use; IP; payments; termination; disclaimers; governing terms; version/date.</x:v>
      </x:c>
      <x:c r="H103" s="48" t="str">
        <x:v>Contact Support</x:v>
      </x:c>
      <x:c r="I103" s="48" t="str">
        <x:v>View Privacy Policy</x:v>
      </x:c>
      <x:c r="J103" s="48" t="str">
        <x:v>Legal CMS</x:v>
      </x:c>
      <x:c r="K103" s="48" t="str">
        <x:v>Versioned legal document</x:v>
      </x:c>
      <x:c r="L103" s="48" t="str">
        <x:v>P0</x:v>
      </x:c>
      <x:c r="M103" s="48" t="str">
        <x:v>Index</x:v>
      </x:c>
      <x:c r="N103" s="48" t="str">
        <x:v>Legal review required</x:v>
      </x:c>
      <x:c r="O103" s="48" t="str">
        <x:v>Backlog</x:v>
      </x:c>
      <x:c r="P103" s="48" t="str"/>
    </x:row>
    <x:row r="104">
      <x:c r="A104" s="48" t="str">
        <x:v>WEB-100</x:v>
      </x:c>
      <x:c r="B104" s="48" t="str">
        <x:v>Trust &amp; Legal</x:v>
      </x:c>
      <x:c r="C104" s="48" t="str">
        <x:v>Cookie Policy</x:v>
      </x:c>
      <x:c r="D104" s="48" t="str">
        <x:v>/cookie-policy</x:v>
      </x:c>
      <x:c r="E104" s="48" t="str">
        <x:v>All</x:v>
      </x:c>
      <x:c r="F104" s="48" t="str">
        <x:v>Explain cookies and tracking technologies.</x:v>
      </x:c>
      <x:c r="G104" s="48" t="str">
        <x:v>Cookie categories; purposes; providers; duration; consent controls; update date.</x:v>
      </x:c>
      <x:c r="H104" s="48" t="str">
        <x:v>Manage Cookie Preferences</x:v>
      </x:c>
      <x:c r="I104" s="48" t="str">
        <x:v>View Privacy Policy</x:v>
      </x:c>
      <x:c r="J104" s="48" t="str">
        <x:v>Legal CMS</x:v>
      </x:c>
      <x:c r="K104" s="48" t="str">
        <x:v>Cookie declaration/config</x:v>
      </x:c>
      <x:c r="L104" s="48" t="str">
        <x:v>P0</x:v>
      </x:c>
      <x:c r="M104" s="48" t="str">
        <x:v>Index</x:v>
      </x:c>
      <x:c r="N104" s="48" t="str"/>
      <x:c r="O104" s="48" t="str">
        <x:v>Backlog</x:v>
      </x:c>
      <x:c r="P104" s="48" t="str"/>
    </x:row>
    <x:row r="105">
      <x:c r="A105" s="48" t="str">
        <x:v>WEB-101</x:v>
      </x:c>
      <x:c r="B105" s="48" t="str">
        <x:v>Trust &amp; Legal</x:v>
      </x:c>
      <x:c r="C105" s="48" t="str">
        <x:v>Data Processing Agreement</x:v>
      </x:c>
      <x:c r="D105" s="48" t="str">
        <x:v>/dpa</x:v>
      </x:c>
      <x:c r="E105" s="48" t="str">
        <x:v>Enterprise / Colleges</x:v>
      </x:c>
      <x:c r="F105" s="48" t="str">
        <x:v>Support procurement and data-processing review.</x:v>
      </x:c>
      <x:c r="G105" s="48" t="str">
        <x:v>Controller/processor roles; instructions; security; subprocessors; transfers; breach; deletion; annexes.</x:v>
      </x:c>
      <x:c r="H105" s="48" t="str">
        <x:v>Request Signed DPA</x:v>
      </x:c>
      <x:c r="I105" s="48" t="str">
        <x:v>Contact Privacy Team</x:v>
      </x:c>
      <x:c r="J105" s="48" t="str">
        <x:v>Legal CMS</x:v>
      </x:c>
      <x:c r="K105" s="48" t="str">
        <x:v>Versioned DPA document</x:v>
      </x:c>
      <x:c r="L105" s="48" t="str">
        <x:v>P1</x:v>
      </x:c>
      <x:c r="M105" s="48" t="str">
        <x:v>Index</x:v>
      </x:c>
      <x:c r="N105" s="48" t="str">
        <x:v>Legal review required</x:v>
      </x:c>
      <x:c r="O105" s="48" t="str">
        <x:v>Backlog</x:v>
      </x:c>
      <x:c r="P105" s="48" t="str"/>
    </x:row>
    <x:row r="106">
      <x:c r="A106" s="48" t="str">
        <x:v>WEB-102</x:v>
      </x:c>
      <x:c r="B106" s="48" t="str">
        <x:v>Trust &amp; Legal</x:v>
      </x:c>
      <x:c r="C106" s="48" t="str">
        <x:v>Subprocessors</x:v>
      </x:c>
      <x:c r="D106" s="48" t="str">
        <x:v>/subprocessors</x:v>
      </x:c>
      <x:c r="E106" s="48" t="str">
        <x:v>Enterprise / Colleges</x:v>
      </x:c>
      <x:c r="F106" s="48" t="str">
        <x:v>Disclose relevant third-party processors.</x:v>
      </x:c>
      <x:c r="G106" s="48" t="str">
        <x:v>Vendor; purpose; data categories; location; change-notification mechanism; update date.</x:v>
      </x:c>
      <x:c r="H106" s="48" t="str">
        <x:v>Subscribe to Updates</x:v>
      </x:c>
      <x:c r="I106" s="48" t="str">
        <x:v>Contact Privacy Team</x:v>
      </x:c>
      <x:c r="J106" s="48" t="str">
        <x:v>Trust CMS</x:v>
      </x:c>
      <x:c r="K106" s="48" t="str">
        <x:v>Subprocessor table</x:v>
      </x:c>
      <x:c r="L106" s="48" t="str">
        <x:v>P1</x:v>
      </x:c>
      <x:c r="M106" s="48" t="str">
        <x:v>Index</x:v>
      </x:c>
      <x:c r="N106" s="48" t="str"/>
      <x:c r="O106" s="48" t="str">
        <x:v>Backlog</x:v>
      </x:c>
      <x:c r="P106" s="48" t="str"/>
    </x:row>
    <x:row r="107">
      <x:c r="A107" s="48" t="str">
        <x:v>WEB-103</x:v>
      </x:c>
      <x:c r="B107" s="48" t="str">
        <x:v>Trust &amp; Legal</x:v>
      </x:c>
      <x:c r="C107" s="48" t="str">
        <x:v>Accessibility</x:v>
      </x:c>
      <x:c r="D107" s="48" t="str">
        <x:v>/accessibility</x:v>
      </x:c>
      <x:c r="E107" s="48" t="str">
        <x:v>All</x:v>
      </x:c>
      <x:c r="F107" s="48" t="str">
        <x:v>State accessibility commitment and feedback path.</x:v>
      </x:c>
      <x:c r="G107" s="48" t="str">
        <x:v>Accessibility standard target; known limitations; contact; remediation process; last review date.</x:v>
      </x:c>
      <x:c r="H107" s="48" t="str">
        <x:v>Report Accessibility Issue</x:v>
      </x:c>
      <x:c r="I107" s="48" t="str">
        <x:v>Contact Support</x:v>
      </x:c>
      <x:c r="J107" s="48" t="str">
        <x:v>Legal CMS</x:v>
      </x:c>
      <x:c r="K107" s="48" t="str">
        <x:v>Accessibility statement</x:v>
      </x:c>
      <x:c r="L107" s="48" t="str">
        <x:v>P2</x:v>
      </x:c>
      <x:c r="M107" s="48" t="str">
        <x:v>Index</x:v>
      </x:c>
      <x:c r="N107" s="48" t="str"/>
      <x:c r="O107" s="48" t="str">
        <x:v>Backlog</x:v>
      </x:c>
      <x:c r="P107" s="48" t="str"/>
    </x:row>
    <x:row r="108">
      <x:c r="A108" s="48" t="str">
        <x:v>WEB-104</x:v>
      </x:c>
      <x:c r="B108" s="48" t="str">
        <x:v>Trust &amp; Legal</x:v>
      </x:c>
      <x:c r="C108" s="48" t="str">
        <x:v>System Status</x:v>
      </x:c>
      <x:c r="D108" s="48" t="str">
        <x:v>/status</x:v>
      </x:c>
      <x:c r="E108" s="48" t="str">
        <x:v>All customers</x:v>
      </x:c>
      <x:c r="F108" s="48" t="str">
        <x:v>Expose service health and incident communication.</x:v>
      </x:c>
      <x:c r="G108" s="48" t="str">
        <x:v>Component status; uptime; incidents; maintenance; history; subscribe to updates.</x:v>
      </x:c>
      <x:c r="H108" s="48" t="str">
        <x:v>View Current Status</x:v>
      </x:c>
      <x:c r="I108" s="48" t="str">
        <x:v>Subscribe to Updates</x:v>
      </x:c>
      <x:c r="J108" s="48" t="str">
        <x:v>Status Admin</x:v>
      </x:c>
      <x:c r="K108" s="48" t="str">
        <x:v>Status components/incidents</x:v>
      </x:c>
      <x:c r="L108" s="48" t="str">
        <x:v>P1</x:v>
      </x:c>
      <x:c r="M108" s="48" t="str">
        <x:v>Index</x:v>
      </x:c>
      <x:c r="N108" s="48" t="str">
        <x:v>Could use external status provider</x:v>
      </x:c>
      <x:c r="O108" s="48" t="str">
        <x:v>Backlog</x:v>
      </x:c>
      <x:c r="P108" s="48" t="str"/>
    </x:row>
    <x:row r="109">
      <x:c r="A109" s="48" t="str">
        <x:v>WEB-105</x:v>
      </x:c>
      <x:c r="B109" s="48" t="str">
        <x:v>Company</x:v>
      </x:c>
      <x:c r="C109" s="48" t="str">
        <x:v>About</x:v>
      </x:c>
      <x:c r="D109" s="48" t="str">
        <x:v>/about</x:v>
      </x:c>
      <x:c r="E109" s="48" t="str">
        <x:v>All</x:v>
      </x:c>
      <x:c r="F109" s="48" t="str">
        <x:v>Tell the company story and establish credibility.</x:v>
      </x:c>
      <x:c r="G109" s="48" t="str">
        <x:v>Mission; vision; company story; why now; approach; leadership; advisors; milestones; CTA.</x:v>
      </x:c>
      <x:c r="H109" s="48" t="str">
        <x:v>Explore Pathwisse</x:v>
      </x:c>
      <x:c r="I109" s="48" t="str">
        <x:v>Contact Us</x:v>
      </x:c>
      <x:c r="J109" s="48" t="str">
        <x:v>Page CMS</x:v>
      </x:c>
      <x:c r="K109" s="48" t="str">
        <x:v>About content</x:v>
      </x:c>
      <x:c r="L109" s="48" t="str">
        <x:v>P1</x:v>
      </x:c>
      <x:c r="M109" s="48" t="str">
        <x:v>Index</x:v>
      </x:c>
      <x:c r="N109" s="48" t="str"/>
      <x:c r="O109" s="48" t="str">
        <x:v>Backlog</x:v>
      </x:c>
      <x:c r="P109" s="48" t="str"/>
    </x:row>
    <x:row r="110">
      <x:c r="A110" s="48" t="str">
        <x:v>WEB-106</x:v>
      </x:c>
      <x:c r="B110" s="48" t="str">
        <x:v>Company</x:v>
      </x:c>
      <x:c r="C110" s="48" t="str">
        <x:v>Leadership &amp; Team</x:v>
      </x:c>
      <x:c r="D110" s="48" t="str">
        <x:v>/team</x:v>
      </x:c>
      <x:c r="E110" s="48" t="str">
        <x:v>All</x:v>
      </x:c>
      <x:c r="F110" s="48" t="str">
        <x:v>Humanize the company and show accountable leadership.</x:v>
      </x:c>
      <x:c r="G110" s="48" t="str">
        <x:v>Leadership profiles; roles; bios; social links; team sections; careers CTA.</x:v>
      </x:c>
      <x:c r="H110" s="48" t="str">
        <x:v>Meet the Team</x:v>
      </x:c>
      <x:c r="I110" s="48" t="str">
        <x:v>View Careers</x:v>
      </x:c>
      <x:c r="J110" s="48" t="str">
        <x:v>People CMS</x:v>
      </x:c>
      <x:c r="K110" s="48" t="str">
        <x:v>Team profiles</x:v>
      </x:c>
      <x:c r="L110" s="48" t="str">
        <x:v>P2</x:v>
      </x:c>
      <x:c r="M110" s="48" t="str">
        <x:v>Index</x:v>
      </x:c>
      <x:c r="N110" s="48" t="str"/>
      <x:c r="O110" s="48" t="str">
        <x:v>Backlog</x:v>
      </x:c>
      <x:c r="P110" s="48" t="str"/>
    </x:row>
    <x:row r="111">
      <x:c r="A111" s="48" t="str">
        <x:v>WEB-107</x:v>
      </x:c>
      <x:c r="B111" s="48" t="str">
        <x:v>Company</x:v>
      </x:c>
      <x:c r="C111" s="48" t="str">
        <x:v>Advisors</x:v>
      </x:c>
      <x:c r="D111" s="48" t="str">
        <x:v>/advisors</x:v>
      </x:c>
      <x:c r="E111" s="48" t="str">
        <x:v>All</x:v>
      </x:c>
      <x:c r="F111" s="48" t="str">
        <x:v>Show advisory expertise where relevant.</x:v>
      </x:c>
      <x:c r="G111" s="48" t="str">
        <x:v>Advisor profiles; expertise; bios; links; disclosure of advisory relationship.</x:v>
      </x:c>
      <x:c r="H111" s="48" t="str">
        <x:v>Learn About Pathwisse</x:v>
      </x:c>
      <x:c r="I111" s="48" t="str">
        <x:v>Contact Us</x:v>
      </x:c>
      <x:c r="J111" s="48" t="str">
        <x:v>People CMS</x:v>
      </x:c>
      <x:c r="K111" s="48" t="str">
        <x:v>Advisor profiles</x:v>
      </x:c>
      <x:c r="L111" s="48" t="str">
        <x:v>P2</x:v>
      </x:c>
      <x:c r="M111" s="48" t="str">
        <x:v>Index</x:v>
      </x:c>
      <x:c r="N111" s="48" t="str"/>
      <x:c r="O111" s="48" t="str">
        <x:v>Backlog</x:v>
      </x:c>
      <x:c r="P111" s="48" t="str"/>
    </x:row>
    <x:row r="112">
      <x:c r="A112" s="48" t="str">
        <x:v>WEB-108</x:v>
      </x:c>
      <x:c r="B112" s="48" t="str">
        <x:v>Company</x:v>
      </x:c>
      <x:c r="C112" s="48" t="str">
        <x:v>Partners</x:v>
      </x:c>
      <x:c r="D112" s="48" t="str">
        <x:v>/partners</x:v>
      </x:c>
      <x:c r="E112" s="48" t="str">
        <x:v>Institutions / Companies / Ecosystem</x:v>
      </x:c>
      <x:c r="F112" s="48" t="str">
        <x:v>Explain partner ecosystem and partner acquisition.</x:v>
      </x:c>
      <x:c r="G112" s="48" t="str">
        <x:v>Partner types; benefits; current partners; integration/implementation partners; partner form.</x:v>
      </x:c>
      <x:c r="H112" s="48" t="str">
        <x:v>Become a Partner</x:v>
      </x:c>
      <x:c r="I112" s="48" t="str">
        <x:v>Explore Integrations</x:v>
      </x:c>
      <x:c r="J112" s="48" t="str">
        <x:v>Partner CMS</x:v>
      </x:c>
      <x:c r="K112" s="48" t="str">
        <x:v>Partner logos/profiles/leads</x:v>
      </x:c>
      <x:c r="L112" s="48" t="str">
        <x:v>P2</x:v>
      </x:c>
      <x:c r="M112" s="48" t="str">
        <x:v>Index</x:v>
      </x:c>
      <x:c r="N112" s="48" t="str"/>
      <x:c r="O112" s="48" t="str">
        <x:v>Backlog</x:v>
      </x:c>
      <x:c r="P112" s="48" t="str"/>
    </x:row>
    <x:row r="113">
      <x:c r="A113" s="48" t="str">
        <x:v>WEB-109</x:v>
      </x:c>
      <x:c r="B113" s="48" t="str">
        <x:v>Company</x:v>
      </x:c>
      <x:c r="C113" s="48" t="str">
        <x:v>Careers at Pathwisse</x:v>
      </x:c>
      <x:c r="D113" s="48" t="str">
        <x:v>/company/careers</x:v>
      </x:c>
      <x:c r="E113" s="48" t="str">
        <x:v>Candidates</x:v>
      </x:c>
      <x:c r="F113" s="48" t="str">
        <x:v>Recruit talent.</x:v>
      </x:c>
      <x:c r="G113" s="48" t="str">
        <x:v>Culture; open roles; hiring process; benefits; role cards; application links.</x:v>
      </x:c>
      <x:c r="H113" s="48" t="str">
        <x:v>View Open Roles</x:v>
      </x:c>
      <x:c r="I113" s="48" t="str">
        <x:v>Learn About Pathwisse</x:v>
      </x:c>
      <x:c r="J113" s="48" t="str">
        <x:v>People CMS</x:v>
      </x:c>
      <x:c r="K113" s="48" t="str">
        <x:v>Job openings</x:v>
      </x:c>
      <x:c r="L113" s="48" t="str">
        <x:v>P2</x:v>
      </x:c>
      <x:c r="M113" s="48" t="str">
        <x:v>Index</x:v>
      </x:c>
      <x:c r="N113" s="48" t="str"/>
      <x:c r="O113" s="48" t="str">
        <x:v>Backlog</x:v>
      </x:c>
      <x:c r="P113" s="48" t="str"/>
    </x:row>
    <x:row r="114">
      <x:c r="A114" s="48" t="str">
        <x:v>WEB-110</x:v>
      </x:c>
      <x:c r="B114" s="48" t="str">
        <x:v>Company</x:v>
      </x:c>
      <x:c r="C114" s="48" t="str">
        <x:v>Press &amp; Media</x:v>
      </x:c>
      <x:c r="D114" s="48" t="str">
        <x:v>/press</x:v>
      </x:c>
      <x:c r="E114" s="48" t="str">
        <x:v>Media / Partners</x:v>
      </x:c>
      <x:c r="F114" s="48" t="str">
        <x:v>Provide official company information and media assets.</x:v>
      </x:c>
      <x:c r="G114" s="48" t="str">
        <x:v>Press releases; company boilerplate; leadership bios; brand assets; media contact.</x:v>
      </x:c>
      <x:c r="H114" s="48" t="str">
        <x:v>View Press Updates</x:v>
      </x:c>
      <x:c r="I114" s="48" t="str">
        <x:v>Contact Media Team</x:v>
      </x:c>
      <x:c r="J114" s="48" t="str">
        <x:v>Press CMS</x:v>
      </x:c>
      <x:c r="K114" s="48" t="str">
        <x:v>Press releases/assets</x:v>
      </x:c>
      <x:c r="L114" s="48" t="str">
        <x:v>P3</x:v>
      </x:c>
      <x:c r="M114" s="48" t="str">
        <x:v>Index</x:v>
      </x:c>
      <x:c r="N114" s="48" t="str"/>
      <x:c r="O114" s="48" t="str">
        <x:v>Backlog</x:v>
      </x:c>
      <x:c r="P114" s="48" t="str"/>
    </x:row>
    <x:row r="115">
      <x:c r="A115" s="48" t="str">
        <x:v>WEB-111</x:v>
      </x:c>
      <x:c r="B115" s="48" t="str">
        <x:v>Company</x:v>
      </x:c>
      <x:c r="C115" s="48" t="str">
        <x:v>Contact</x:v>
      </x:c>
      <x:c r="D115" s="48" t="str">
        <x:v>/contact</x:v>
      </x:c>
      <x:c r="E115" s="48" t="str">
        <x:v>All</x:v>
      </x:c>
      <x:c r="F115" s="48" t="str">
        <x:v>Provide a generic contact route without mixing support and sales.</x:v>
      </x:c>
      <x:c r="G115" s="48" t="str">
        <x:v>Contact categories; form routing; office/company info; support/sales links; spam protection.</x:v>
      </x:c>
      <x:c r="H115" s="48" t="str">
        <x:v>Send Message</x:v>
      </x:c>
      <x:c r="I115" s="48" t="str">
        <x:v>Book a Demo</x:v>
      </x:c>
      <x:c r="J115" s="48" t="str">
        <x:v>Lead Admin</x:v>
      </x:c>
      <x:c r="K115" s="48" t="str">
        <x:v>Contact routing</x:v>
      </x:c>
      <x:c r="L115" s="48" t="str">
        <x:v>P1</x:v>
      </x:c>
      <x:c r="M115" s="48" t="str">
        <x:v>Index</x:v>
      </x:c>
      <x:c r="N115" s="48" t="str"/>
      <x:c r="O115" s="48" t="str">
        <x:v>Backlog</x:v>
      </x:c>
      <x:c r="P115" s="48" t="str"/>
    </x:row>
    <x:row r="116">
      <x:c r="A116" s="48" t="str">
        <x:v>WEB-112</x:v>
      </x:c>
      <x:c r="B116" s="48" t="str">
        <x:v>Campaigns</x:v>
      </x:c>
      <x:c r="C116" s="48" t="str">
        <x:v>Campaign Landing Template</x:v>
      </x:c>
      <x:c r="D116" s="48" t="str">
        <x:v>/campaign/[slug]</x:v>
      </x:c>
      <x:c r="E116" s="48" t="str">
        <x:v>Campaign-specific</x:v>
      </x:c>
      <x:c r="F116" s="48" t="str">
        <x:v>Allow marketing teams to launch focused landing pages without engineering.</x:v>
      </x:c>
      <x:c r="G116" s="48" t="str">
        <x:v>Configurable hero; proof; benefits; form; FAQ; media; CTA; UTM persistence; thank-you redirect; no global-nav option.</x:v>
      </x:c>
      <x:c r="H116" s="48" t="str">
        <x:v>Campaign-specific CTA</x:v>
      </x:c>
      <x:c r="I116" s="48" t="str">
        <x:v>Learn More</x:v>
      </x:c>
      <x:c r="J116" s="48" t="str">
        <x:v>Campaign CMS</x:v>
      </x:c>
      <x:c r="K116" s="48" t="str">
        <x:v>Landing builder, forms, attribution, publish scheduling</x:v>
      </x:c>
      <x:c r="L116" s="48" t="str">
        <x:v>P0</x:v>
      </x:c>
      <x:c r="M116" s="48" t="str">
        <x:v>Index/Noindex configurable</x:v>
      </x:c>
      <x:c r="N116" s="48" t="str">
        <x:v>Reusable template</x:v>
      </x:c>
      <x:c r="O116" s="48" t="str">
        <x:v>Backlog</x:v>
      </x:c>
      <x:c r="P116" s="48" t="str"/>
    </x:row>
    <x:row r="117">
      <x:c r="A117" s="48" t="str">
        <x:v>WEB-113</x:v>
      </x:c>
      <x:c r="B117" s="48" t="str">
        <x:v>Utility</x:v>
      </x:c>
      <x:c r="C117" s="48" t="str">
        <x:v>Site Search</x:v>
      </x:c>
      <x:c r="D117" s="48" t="str">
        <x:v>/search</x:v>
      </x:c>
      <x:c r="E117" s="48" t="str">
        <x:v>All</x:v>
      </x:c>
      <x:c r="F117" s="48" t="str">
        <x:v>Help users find careers, skills, roadmaps, projects, and resources.</x:v>
      </x:c>
      <x:c r="G117" s="48" t="str">
        <x:v>Unified search; type filters; highlighted matches; empty state; analytics; typo tolerance.</x:v>
      </x:c>
      <x:c r="H117" s="48" t="str">
        <x:v>Open Result</x:v>
      </x:c>
      <x:c r="I117" s="48" t="str">
        <x:v>Explore Popular Content</x:v>
      </x:c>
      <x:c r="J117" s="48" t="str">
        <x:v>Search Admin</x:v>
      </x:c>
      <x:c r="K117" s="48" t="str">
        <x:v>Search sources/boosting</x:v>
      </x:c>
      <x:c r="L117" s="48" t="str">
        <x:v>P2</x:v>
      </x:c>
      <x:c r="M117" s="48" t="str">
        <x:v>Noindex</x:v>
      </x:c>
      <x:c r="N117" s="48" t="str"/>
      <x:c r="O117" s="48" t="str">
        <x:v>Backlog</x:v>
      </x:c>
      <x:c r="P117" s="48" t="str"/>
    </x:row>
    <x:row r="118">
      <x:c r="A118" s="48" t="str">
        <x:v>WEB-114</x:v>
      </x:c>
      <x:c r="B118" s="48" t="str">
        <x:v>Utility</x:v>
      </x:c>
      <x:c r="C118" s="48" t="str">
        <x:v>404</x:v>
      </x:c>
      <x:c r="D118" s="48" t="str">
        <x:v>/404</x:v>
      </x:c>
      <x:c r="E118" s="48" t="str">
        <x:v>All</x:v>
      </x:c>
      <x:c r="F118" s="48" t="str">
        <x:v>Recover visitors from broken or changed URLs.</x:v>
      </x:c>
      <x:c r="G118" s="48" t="str">
        <x:v>Clear message; search; popular links; home CTA; report broken-link analytics.</x:v>
      </x:c>
      <x:c r="H118" s="48" t="str">
        <x:v>Go to Home</x:v>
      </x:c>
      <x:c r="I118" s="48" t="str">
        <x:v>Search Pathwisse</x:v>
      </x:c>
      <x:c r="J118" s="48" t="str">
        <x:v>None</x:v>
      </x:c>
      <x:c r="K118" s="48" t="str">
        <x:v>None</x:v>
      </x:c>
      <x:c r="L118" s="48" t="str">
        <x:v>P0</x:v>
      </x:c>
      <x:c r="M118" s="48" t="str">
        <x:v>Noindex</x:v>
      </x:c>
      <x:c r="N118" s="48" t="str"/>
      <x:c r="O118" s="48" t="str">
        <x:v>Backlog</x:v>
      </x:c>
      <x:c r="P118" s="48" t="str"/>
    </x:row>
    <x:row r="119">
      <x:c r="A119" s="48" t="str">
        <x:v>WEB-115</x:v>
      </x:c>
      <x:c r="B119" s="48" t="str">
        <x:v>Utility</x:v>
      </x:c>
      <x:c r="C119" s="48" t="str">
        <x:v>500 / Error</x:v>
      </x:c>
      <x:c r="D119" s="48" t="str">
        <x:v>/500</x:v>
      </x:c>
      <x:c r="E119" s="48" t="str">
        <x:v>All</x:v>
      </x:c>
      <x:c r="F119" s="48" t="str">
        <x:v>Handle server errors gracefully.</x:v>
      </x:c>
      <x:c r="G119" s="48" t="str">
        <x:v>Error message; retry; status link; support link; error ID where useful.</x:v>
      </x:c>
      <x:c r="H119" s="48" t="str">
        <x:v>Try Again</x:v>
      </x:c>
      <x:c r="I119" s="48" t="str">
        <x:v>Check System Status</x:v>
      </x:c>
      <x:c r="J119" s="48" t="str">
        <x:v>None</x:v>
      </x:c>
      <x:c r="K119" s="48" t="str">
        <x:v>None</x:v>
      </x:c>
      <x:c r="L119" s="48" t="str">
        <x:v>P1</x:v>
      </x:c>
      <x:c r="M119" s="48" t="str">
        <x:v>Noindex</x:v>
      </x:c>
      <x:c r="N119" s="48" t="str"/>
      <x:c r="O119" s="48" t="str">
        <x:v>Backlog</x:v>
      </x:c>
      <x:c r="P119" s="48" t="str"/>
    </x:row>
    <x:row r="120">
      <x:c r="A120" s="48" t="str">
        <x:v>WEB-116</x:v>
      </x:c>
      <x:c r="B120" s="48" t="str">
        <x:v>Utility</x:v>
      </x:c>
      <x:c r="C120" s="48" t="str">
        <x:v>Maintenance</x:v>
      </x:c>
      <x:c r="D120" s="48" t="str">
        <x:v>/maintenance</x:v>
      </x:c>
      <x:c r="E120" s="48" t="str">
        <x:v>All</x:v>
      </x:c>
      <x:c r="F120" s="48" t="str">
        <x:v>Provide a controlled maintenance state.</x:v>
      </x:c>
      <x:c r="G120" s="48" t="str">
        <x:v>Maintenance message; expected window; status link; support contact.</x:v>
      </x:c>
      <x:c r="H120" s="48" t="str">
        <x:v>Check Status</x:v>
      </x:c>
      <x:c r="I120" s="48" t="str">
        <x:v>Contact Support</x:v>
      </x:c>
      <x:c r="J120" s="48" t="str">
        <x:v>Status Admin</x:v>
      </x:c>
      <x:c r="K120" s="48" t="str">
        <x:v>Maintenance messaging</x:v>
      </x:c>
      <x:c r="L120" s="48" t="str">
        <x:v>P2</x:v>
      </x:c>
      <x:c r="M120" s="48" t="str">
        <x:v>Noindex</x:v>
      </x:c>
      <x:c r="N120" s="48" t="str"/>
      <x:c r="O120" s="48" t="str">
        <x:v>Backlog</x:v>
      </x:c>
      <x:c r="P120" s="48" t="str"/>
    </x:row>
    <x:row r="121">
      <x:c r="A121" s="48" t="str">
        <x:v>WEB-117</x:v>
      </x:c>
      <x:c r="B121" s="48" t="str">
        <x:v>Utility</x:v>
      </x:c>
      <x:c r="C121" s="48" t="str">
        <x:v>Email Preferences</x:v>
      </x:c>
      <x:c r="D121" s="48" t="str">
        <x:v>/email-preferences</x:v>
      </x:c>
      <x:c r="E121" s="48" t="str">
        <x:v>Subscribers</x:v>
      </x:c>
      <x:c r="F121" s="48" t="str">
        <x:v>Let users manage communications.</x:v>
      </x:c>
      <x:c r="G121" s="48" t="str">
        <x:v>Email categories; opt-in/out; save confirmation; privacy link.</x:v>
      </x:c>
      <x:c r="H121" s="48" t="str">
        <x:v>Save Preferences</x:v>
      </x:c>
      <x:c r="I121" s="48" t="str">
        <x:v>Unsubscribe All</x:v>
      </x:c>
      <x:c r="J121" s="48" t="str">
        <x:v>Preference Admin</x:v>
      </x:c>
      <x:c r="K121" s="48" t="str">
        <x:v>Communication categories</x:v>
      </x:c>
      <x:c r="L121" s="48" t="str">
        <x:v>P1</x:v>
      </x:c>
      <x:c r="M121" s="48" t="str">
        <x:v>Noindex</x:v>
      </x:c>
      <x:c r="N121" s="48" t="str"/>
      <x:c r="O121" s="48" t="str">
        <x:v>Backlog</x:v>
      </x:c>
      <x:c r="P121" s="48" t="str"/>
    </x:row>
    <x:row r="122">
      <x:c r="A122" s="48" t="str">
        <x:v>WEB-118</x:v>
      </x:c>
      <x:c r="B122" s="48" t="str">
        <x:v>Utility</x:v>
      </x:c>
      <x:c r="C122" s="48" t="str">
        <x:v>Unsubscribe</x:v>
      </x:c>
      <x:c r="D122" s="48" t="str">
        <x:v>/unsubscribe</x:v>
      </x:c>
      <x:c r="E122" s="48" t="str">
        <x:v>Subscribers</x:v>
      </x:c>
      <x:c r="F122" s="48" t="str">
        <x:v>Provide one-click email unsubscribe.</x:v>
      </x:c>
      <x:c r="G122" s="48" t="str">
        <x:v>Token validation; unsubscribe state; resubscribe option; preference-center link.</x:v>
      </x:c>
      <x:c r="H122" s="48" t="str">
        <x:v>Confirm Unsubscribe</x:v>
      </x:c>
      <x:c r="I122" s="48" t="str">
        <x:v>Manage Preferences</x:v>
      </x:c>
      <x:c r="J122" s="48" t="str">
        <x:v>Preference Admin</x:v>
      </x:c>
      <x:c r="K122" s="48" t="str">
        <x:v>Subscription preferences</x:v>
      </x:c>
      <x:c r="L122" s="48" t="str">
        <x:v>P0</x:v>
      </x:c>
      <x:c r="M122" s="48" t="str">
        <x:v>Noindex</x:v>
      </x:c>
      <x:c r="N122" s="48" t="str"/>
      <x:c r="O122" s="48" t="str">
        <x:v>Backlog</x:v>
      </x:c>
      <x:c r="P122" s="48" t="str"/>
    </x:row>
    <x:row r="123">
      <x:c r="A123" s="48" t="str">
        <x:v>WEB-119</x:v>
      </x:c>
      <x:c r="B123" s="48" t="str">
        <x:v>Utility</x:v>
      </x:c>
      <x:c r="C123" s="48" t="str">
        <x:v>Account/Data Deletion Request</x:v>
      </x:c>
      <x:c r="D123" s="48" t="str">
        <x:v>/data-deletion</x:v>
      </x:c>
      <x:c r="E123" s="48" t="str">
        <x:v>Users</x:v>
      </x:c>
      <x:c r="F123" s="48" t="str">
        <x:v>Provide a clear privacy-request route.</x:v>
      </x:c>
      <x:c r="G123" s="48" t="str">
        <x:v>Request form; identity verification; request types; expected process; ticket/reference; privacy contact.</x:v>
      </x:c>
      <x:c r="H123" s="48" t="str">
        <x:v>Submit Deletion Request</x:v>
      </x:c>
      <x:c r="I123" s="48" t="str">
        <x:v>View Privacy Policy</x:v>
      </x:c>
      <x:c r="J123" s="48" t="str">
        <x:v>Privacy Admin</x:v>
      </x:c>
      <x:c r="K123" s="48" t="str">
        <x:v>Privacy request queue</x:v>
      </x:c>
      <x:c r="L123" s="48" t="str">
        <x:v>P1</x:v>
      </x:c>
      <x:c r="M123" s="48" t="str">
        <x:v>Noindex</x:v>
      </x:c>
      <x:c r="N123" s="48" t="str"/>
      <x:c r="O123" s="48" t="str">
        <x:v>Backlog</x:v>
      </x:c>
      <x:c r="P123" s="48" t="str"/>
    </x:row>
  </x:sheetData>
  <x:mergeCells>
    <x:mergeCell ref="A1:P1"/>
    <x:mergeCell ref="A2:P2"/>
  </x:mergeCells>
  <x:conditionalFormatting sqref="L5:L123">
    <x:cfRule type="expression" dxfId="6" priority="1">
      <x:formula>L5="P0"</x:formula>
    </x:cfRule>
    <x:cfRule type="expression" dxfId="7" priority="2">
      <x:formula>L5="P1"</x:formula>
    </x:cfRule>
  </x:conditionalFormatting>
  <x:conditionalFormatting sqref="O5:O123">
    <x:cfRule type="expression" dxfId="8" priority="3">
      <x:formula>O5="Done"</x:formula>
    </x:cfRule>
    <x:cfRule type="expression" dxfId="9" priority="4">
      <x:formula>O5="Blocked"</x:formula>
    </x:cfRule>
  </x:conditionalFormatting>
  <x:dataValidations count="2">
    <x:dataValidation type="list" sqref="L5:L123">
      <x:formula1>"P0,P1,P2,P3"</x:formula1>
    </x:dataValidation>
    <x:dataValidation type="list" sqref="O5:O123">
      <x:formula1>"Backlog,Ready,In Progress,Review,Blocked,Done"</x:formula1>
    </x:dataValidation>
  </x:dataValidations>
  <x:pageMargins left="0.7" right="0.7" top="0.75" bottom="0.75" header="0.3" footer="0.3"/>
  <x:tableParts count="1">
    <x:tablePart xmlns:r="http://schemas.openxmlformats.org/officeDocument/2006/relationships" r:id="Rf53d3b5f8195455e"/>
  </x:tableParts>
</x:worksheet>
</file>

<file path=xl/worksheets/sheet4.xml><?xml version="1.0" encoding="utf-8"?>
<x:worksheet xmlns:x="http://schemas.openxmlformats.org/spreadsheetml/2006/main">
  <x:sheetFormatPr defaultRowHeight="15"/>
  <x:cols>
    <x:col min="1" max="1" width="12" hidden="0" customWidth="1"/>
    <x:col min="2" max="2" width="24" hidden="0" customWidth="1"/>
    <x:col min="3" max="3" width="28" hidden="0" customWidth="1"/>
    <x:col min="4" max="4" width="30" hidden="0" customWidth="1"/>
    <x:col min="5" max="5" width="34" hidden="0" customWidth="1"/>
    <x:col min="6" max="6" width="62" hidden="0" customWidth="1"/>
    <x:col min="7" max="7" width="34" hidden="0" customWidth="1"/>
    <x:col min="8" max="8" width="11" hidden="0" customWidth="1"/>
    <x:col min="9" max="9" width="14" hidden="0" customWidth="1"/>
    <x:col min="10" max="10" width="18" hidden="0" customWidth="1"/>
  </x:cols>
  <x:sheetData>
    <x:row r="1" ht="28" customHeight="1">
      <x:c r="A1" s="39" t="str">
        <x:v>Pathwisse CMS / Admin Development Plan</x:v>
      </x:c>
      <x:c r="B1" s="39"/>
      <x:c r="C1" s="39"/>
      <x:c r="D1" s="39"/>
      <x:c r="E1" s="39"/>
      <x:c r="F1" s="39"/>
      <x:c r="G1" s="39"/>
      <x:c r="H1" s="39"/>
      <x:c r="I1" s="39"/>
      <x:c r="J1" s="39"/>
    </x:row>
    <x:row r="2" ht="36" customHeight="1">
      <x:c r="A2" s="43" t="str">
        <x:v>Admin scope includes a full Blog CMS and Skill Explorer Admin, plus supporting governance, SEO, media, campaigns, leads, navigation, trust and consent controls so the public website can operate without developer dependency for routine content changes.</x:v>
      </x:c>
      <x:c r="B2" s="43"/>
      <x:c r="C2" s="43"/>
      <x:c r="D2" s="43"/>
      <x:c r="E2" s="43"/>
      <x:c r="F2" s="43"/>
      <x:c r="G2" s="43"/>
      <x:c r="H2" s="43"/>
      <x:c r="I2" s="43"/>
      <x:c r="J2" s="43"/>
    </x:row>
    <x:row r="4" ht="30" customHeight="1">
      <x:c r="A4" s="47" t="str">
        <x:v>Admin ID</x:v>
      </x:c>
      <x:c r="B4" s="47" t="str">
        <x:v>Admin Module</x:v>
      </x:c>
      <x:c r="C4" s="47" t="str">
        <x:v>Screen / Capability</x:v>
      </x:c>
      <x:c r="D4" s="47" t="str">
        <x:v>Route</x:v>
      </x:c>
      <x:c r="E4" s="47" t="str">
        <x:v>Objective</x:v>
      </x:c>
      <x:c r="F4" s="47" t="str">
        <x:v>What Needs to Be Developed</x:v>
      </x:c>
      <x:c r="G4" s="47" t="str">
        <x:v>Access / Permissions</x:v>
      </x:c>
      <x:c r="H4" s="47" t="str">
        <x:v>Priority</x:v>
      </x:c>
      <x:c r="I4" s="47" t="str">
        <x:v>Status</x:v>
      </x:c>
      <x:c r="J4" s="47" t="str">
        <x:v>Owner</x:v>
      </x:c>
    </x:row>
    <x:row r="5">
      <x:c r="A5" s="48" t="str">
        <x:v>ADM-001</x:v>
      </x:c>
      <x:c r="B5" s="48" t="str">
        <x:v>Admin Foundation</x:v>
      </x:c>
      <x:c r="C5" s="48" t="str">
        <x:v>Admin Login</x:v>
      </x:c>
      <x:c r="D5" s="48" t="str">
        <x:v>/admin/login</x:v>
      </x:c>
      <x:c r="E5" s="48" t="str">
        <x:v>Secure staff access to CMS/admin tools.</x:v>
      </x:c>
      <x:c r="F5" s="48" t="str">
        <x:v>SSO/passwordless or secure login; MFA for privileged users; rate limiting; session timeout; forgot/recovery flow.</x:v>
      </x:c>
      <x:c r="G5" s="48" t="str">
        <x:v>Admin/Editor/Reviewer/SEO/Analyst roles</x:v>
      </x:c>
      <x:c r="H5" s="48" t="str">
        <x:v>P0</x:v>
      </x:c>
      <x:c r="I5" s="48" t="str">
        <x:v>Backlog</x:v>
      </x:c>
      <x:c r="J5" s="48" t="str"/>
    </x:row>
    <x:row r="6">
      <x:c r="A6" s="48" t="str">
        <x:v>ADM-002</x:v>
      </x:c>
      <x:c r="B6" s="48" t="str">
        <x:v>Admin Foundation</x:v>
      </x:c>
      <x:c r="C6" s="48" t="str">
        <x:v>Admin Dashboard</x:v>
      </x:c>
      <x:c r="D6" s="48" t="str">
        <x:v>/admin</x:v>
      </x:c>
      <x:c r="E6" s="48" t="str">
        <x:v>Give operators a single view of content and publishing health.</x:v>
      </x:c>
      <x:c r="F6" s="48" t="str">
        <x:v>Draft/review/published counts; recent changes; scheduled posts; broken-content alerts; SEO issues; quick-create buttons.</x:v>
      </x:c>
      <x:c r="G6" s="48" t="str">
        <x:v>Role-aware widgets</x:v>
      </x:c>
      <x:c r="H6" s="48" t="str">
        <x:v>P0</x:v>
      </x:c>
      <x:c r="I6" s="48" t="str">
        <x:v>Backlog</x:v>
      </x:c>
      <x:c r="J6" s="48" t="str"/>
    </x:row>
    <x:row r="7">
      <x:c r="A7" s="48" t="str">
        <x:v>ADM-003</x:v>
      </x:c>
      <x:c r="B7" s="48" t="str">
        <x:v>Blog Admin</x:v>
      </x:c>
      <x:c r="C7" s="48" t="str">
        <x:v>Blog Post Manager</x:v>
      </x:c>
      <x:c r="D7" s="48" t="str">
        <x:v>/admin/blog</x:v>
      </x:c>
      <x:c r="E7" s="48" t="str">
        <x:v>Create, search, filter, duplicate, archive, and manage posts.</x:v>
      </x:c>
      <x:c r="F7" s="48" t="str">
        <x:v>Table view; status; author; category; publish date; search/filter; bulk actions; preview; duplicate; archive.</x:v>
      </x:c>
      <x:c r="G7" s="48" t="str">
        <x:v>Editor, Reviewer, Admin</x:v>
      </x:c>
      <x:c r="H7" s="48" t="str">
        <x:v>P0</x:v>
      </x:c>
      <x:c r="I7" s="48" t="str">
        <x:v>Backlog</x:v>
      </x:c>
      <x:c r="J7" s="48" t="str"/>
    </x:row>
    <x:row r="8">
      <x:c r="A8" s="48" t="str">
        <x:v>ADM-004</x:v>
      </x:c>
      <x:c r="B8" s="48" t="str">
        <x:v>Blog Admin</x:v>
      </x:c>
      <x:c r="C8" s="48" t="str">
        <x:v>Blog Editor</x:v>
      </x:c>
      <x:c r="D8" s="48" t="str">
        <x:v>/admin/blog/[id]</x:v>
      </x:c>
      <x:c r="E8" s="48" t="str">
        <x:v>Create and edit SEO-ready blog articles.</x:v>
      </x:c>
      <x:c r="F8" s="48" t="str">
        <x:v>Rich editor; title; slug; excerpt; body; TOC; cover image; author/reviewer; categories/tags; citations/sources; FAQs; related content; CTA; SEO title/description; OG image; canonical; schema; preview.</x:v>
      </x:c>
      <x:c r="G8" s="48" t="str">
        <x:v>Editor can draft; Reviewer can approve; Admin can publish</x:v>
      </x:c>
      <x:c r="H8" s="48" t="str">
        <x:v>P0</x:v>
      </x:c>
      <x:c r="I8" s="48" t="str">
        <x:v>Backlog</x:v>
      </x:c>
      <x:c r="J8" s="48" t="str"/>
    </x:row>
    <x:row r="9">
      <x:c r="A9" s="48" t="str">
        <x:v>ADM-005</x:v>
      </x:c>
      <x:c r="B9" s="48" t="str">
        <x:v>Blog Admin</x:v>
      </x:c>
      <x:c r="C9" s="48" t="str">
        <x:v>Blog Categories &amp; Tags</x:v>
      </x:c>
      <x:c r="D9" s="48" t="str">
        <x:v>/admin/blog/taxonomy</x:v>
      </x:c>
      <x:c r="E9" s="48" t="str">
        <x:v>Manage blog information architecture.</x:v>
      </x:c>
      <x:c r="F9" s="48" t="str">
        <x:v>Create/edit/archive categories and tags; descriptions; slugs; SEO metadata; ordering; redirects on slug change.</x:v>
      </x:c>
      <x:c r="G9" s="48" t="str">
        <x:v>Editor/Admin</x:v>
      </x:c>
      <x:c r="H9" s="48" t="str">
        <x:v>P1</x:v>
      </x:c>
      <x:c r="I9" s="48" t="str">
        <x:v>Backlog</x:v>
      </x:c>
      <x:c r="J9" s="48" t="str"/>
    </x:row>
    <x:row r="10">
      <x:c r="A10" s="48" t="str">
        <x:v>ADM-006</x:v>
      </x:c>
      <x:c r="B10" s="48" t="str">
        <x:v>Blog Admin</x:v>
      </x:c>
      <x:c r="C10" s="48" t="str">
        <x:v>Blog Publishing Workflow</x:v>
      </x:c>
      <x:c r="D10" s="48" t="str">
        <x:v>/admin/blog/workflow</x:v>
      </x:c>
      <x:c r="E10" s="48" t="str">
        <x:v>Control quality before content goes live.</x:v>
      </x:c>
      <x:c r="F10" s="48" t="str">
        <x:v>Draft → Review → Approved → Scheduled → Published → Archived; comments; change log; scheduled publishing/unpublishing.</x:v>
      </x:c>
      <x:c r="G10" s="48" t="str">
        <x:v>Reviewer/Admin approval gates</x:v>
      </x:c>
      <x:c r="H10" s="48" t="str">
        <x:v>P0</x:v>
      </x:c>
      <x:c r="I10" s="48" t="str">
        <x:v>Backlog</x:v>
      </x:c>
      <x:c r="J10" s="48" t="str"/>
    </x:row>
    <x:row r="11">
      <x:c r="A11" s="48" t="str">
        <x:v>ADM-007</x:v>
      </x:c>
      <x:c r="B11" s="48" t="str">
        <x:v>Blog Admin</x:v>
      </x:c>
      <x:c r="C11" s="48" t="str">
        <x:v>Authors &amp; Reviewers</x:v>
      </x:c>
      <x:c r="D11" s="48" t="str">
        <x:v>/admin/blog/authors</x:v>
      </x:c>
      <x:c r="E11" s="48" t="str">
        <x:v>Manage article attribution and expertise signals.</x:v>
      </x:c>
      <x:c r="F11" s="48" t="str">
        <x:v>Profile; title; bio; photo; social links; expertise; reviewer flag; active/inactive.</x:v>
      </x:c>
      <x:c r="G11" s="48" t="str">
        <x:v>Admin</x:v>
      </x:c>
      <x:c r="H11" s="48" t="str">
        <x:v>P1</x:v>
      </x:c>
      <x:c r="I11" s="48" t="str">
        <x:v>Backlog</x:v>
      </x:c>
      <x:c r="J11" s="48" t="str"/>
    </x:row>
    <x:row r="12">
      <x:c r="A12" s="48" t="str">
        <x:v>ADM-008</x:v>
      </x:c>
      <x:c r="B12" s="48" t="str">
        <x:v>Skill Explorer Admin</x:v>
      </x:c>
      <x:c r="C12" s="48" t="str">
        <x:v>Skill Catalog</x:v>
      </x:c>
      <x:c r="D12" s="48" t="str">
        <x:v>/admin/skills</x:v>
      </x:c>
      <x:c r="E12" s="48" t="str">
        <x:v>Manage all skills at scale.</x:v>
      </x:c>
      <x:c r="F12" s="48" t="str">
        <x:v>Search/filter; category; status; level; careers; roadmap usage; topic count; bulk publish/archive; CSV import/export; duplicate detection.</x:v>
      </x:c>
      <x:c r="G12" s="48" t="str">
        <x:v>Editor/Admin</x:v>
      </x:c>
      <x:c r="H12" s="48" t="str">
        <x:v>P0</x:v>
      </x:c>
      <x:c r="I12" s="48" t="str">
        <x:v>Backlog</x:v>
      </x:c>
      <x:c r="J12" s="48" t="str"/>
    </x:row>
    <x:row r="13">
      <x:c r="A13" s="48" t="str">
        <x:v>ADM-009</x:v>
      </x:c>
      <x:c r="B13" s="48" t="str">
        <x:v>Skill Explorer Admin</x:v>
      </x:c>
      <x:c r="C13" s="48" t="str">
        <x:v>Skill Editor</x:v>
      </x:c>
      <x:c r="D13" s="48" t="str">
        <x:v>/admin/skills/[id]</x:v>
      </x:c>
      <x:c r="E13" s="48" t="str">
        <x:v>Create and maintain each skill detail page.</x:v>
      </x:c>
      <x:c r="F13" s="48" t="str">
        <x:v>Name; slug; summary; description; why it matters; level; prerequisites; learning time; examples; career mappings; related skills; project mappings; stages/topics; FAQs; SEO; schema; publish status.</x:v>
      </x:c>
      <x:c r="G13" s="48" t="str">
        <x:v>Editor draft; Reviewer approve; Admin publish</x:v>
      </x:c>
      <x:c r="H13" s="48" t="str">
        <x:v>P0</x:v>
      </x:c>
      <x:c r="I13" s="48" t="str">
        <x:v>Backlog</x:v>
      </x:c>
      <x:c r="J13" s="48" t="str"/>
    </x:row>
    <x:row r="14">
      <x:c r="A14" s="48" t="str">
        <x:v>ADM-010</x:v>
      </x:c>
      <x:c r="B14" s="48" t="str">
        <x:v>Skill Explorer Admin</x:v>
      </x:c>
      <x:c r="C14" s="48" t="str">
        <x:v>Skill Taxonomy</x:v>
      </x:c>
      <x:c r="D14" s="48" t="str">
        <x:v>/admin/skills/taxonomy</x:v>
      </x:c>
      <x:c r="E14" s="48" t="str">
        <x:v>Keep skills organized and filterable.</x:v>
      </x:c>
      <x:c r="F14" s="48" t="str">
        <x:v>Categories; domains; subdomains; levels; aliases; tags; ordering; merge/redirect duplicate skills.</x:v>
      </x:c>
      <x:c r="G14" s="48" t="str">
        <x:v>Admin/Content Architect</x:v>
      </x:c>
      <x:c r="H14" s="48" t="str">
        <x:v>P0</x:v>
      </x:c>
      <x:c r="I14" s="48" t="str">
        <x:v>Backlog</x:v>
      </x:c>
      <x:c r="J14" s="48" t="str"/>
    </x:row>
    <x:row r="15">
      <x:c r="A15" s="48" t="str">
        <x:v>ADM-011</x:v>
      </x:c>
      <x:c r="B15" s="48" t="str">
        <x:v>Skill Explorer Admin</x:v>
      </x:c>
      <x:c r="C15" s="48" t="str">
        <x:v>Stage &amp; Topic Mapping</x:v>
      </x:c>
      <x:c r="D15" s="48" t="str">
        <x:v>/admin/skills/[id]/curriculum</x:v>
      </x:c>
      <x:c r="E15" s="48" t="str">
        <x:v>Map a skill into structured stages and topics.</x:v>
      </x:c>
      <x:c r="F15" s="48" t="str">
        <x:v>Drag/drop ordering; stage descriptions; topic summaries; prerequisites; estimated time; content status; validation for orphan topics.</x:v>
      </x:c>
      <x:c r="G15" s="48" t="str">
        <x:v>Editor/Reviewer</x:v>
      </x:c>
      <x:c r="H15" s="48" t="str">
        <x:v>P0</x:v>
      </x:c>
      <x:c r="I15" s="48" t="str">
        <x:v>Backlog</x:v>
      </x:c>
      <x:c r="J15" s="48" t="str"/>
    </x:row>
    <x:row r="16">
      <x:c r="A16" s="48" t="str">
        <x:v>ADM-012</x:v>
      </x:c>
      <x:c r="B16" s="48" t="str">
        <x:v>Skill Explorer Admin</x:v>
      </x:c>
      <x:c r="C16" s="48" t="str">
        <x:v>Skill-to-Career Mapping</x:v>
      </x:c>
      <x:c r="D16" s="48" t="str">
        <x:v>/admin/skills/mappings/careers</x:v>
      </x:c>
      <x:c r="E16" s="48" t="str">
        <x:v>Connect skills to career discovery and SEO pages.</x:v>
      </x:c>
      <x:c r="F16" s="48" t="str">
        <x:v>Career ↔ skill relationship; importance/weight; required/optional; proficiency target; bulk mapping; import/export.</x:v>
      </x:c>
      <x:c r="G16" s="48" t="str">
        <x:v>Content Architect/Admin</x:v>
      </x:c>
      <x:c r="H16" s="48" t="str">
        <x:v>P1</x:v>
      </x:c>
      <x:c r="I16" s="48" t="str">
        <x:v>Backlog</x:v>
      </x:c>
      <x:c r="J16" s="48" t="str"/>
    </x:row>
    <x:row r="17">
      <x:c r="A17" s="48" t="str">
        <x:v>ADM-013</x:v>
      </x:c>
      <x:c r="B17" s="48" t="str">
        <x:v>Skill Explorer Admin</x:v>
      </x:c>
      <x:c r="C17" s="48" t="str">
        <x:v>Skill-to-Project Mapping</x:v>
      </x:c>
      <x:c r="D17" s="48" t="str">
        <x:v>/admin/skills/mappings/projects</x:v>
      </x:c>
      <x:c r="E17" s="48" t="str">
        <x:v>Connect skill learning to evidence-building projects.</x:v>
      </x:c>
      <x:c r="F17" s="48" t="str">
        <x:v>Skill ↔ project mapping; required proficiency; project difficulty; featured relationship; bulk mapping.</x:v>
      </x:c>
      <x:c r="G17" s="48" t="str">
        <x:v>Editor/Admin</x:v>
      </x:c>
      <x:c r="H17" s="48" t="str">
        <x:v>P1</x:v>
      </x:c>
      <x:c r="I17" s="48" t="str">
        <x:v>Backlog</x:v>
      </x:c>
      <x:c r="J17" s="48" t="str"/>
    </x:row>
    <x:row r="18">
      <x:c r="A18" s="48" t="str">
        <x:v>ADM-014</x:v>
      </x:c>
      <x:c r="B18" s="48" t="str">
        <x:v>Roadmap CMS</x:v>
      </x:c>
      <x:c r="C18" s="48" t="str">
        <x:v>Roadmap Manager</x:v>
      </x:c>
      <x:c r="D18" s="48" t="str">
        <x:v>/admin/roadmaps</x:v>
      </x:c>
      <x:c r="E18" s="48" t="str">
        <x:v>Manage career roadmaps.</x:v>
      </x:c>
      <x:c r="F18" s="48" t="str">
        <x:v>Roadmap catalog; status; career mapping; phases/skills/stages/topics; versioning; duplicate; preview; publish.</x:v>
      </x:c>
      <x:c r="G18" s="48" t="str">
        <x:v>Editor/Reviewer/Admin</x:v>
      </x:c>
      <x:c r="H18" s="48" t="str">
        <x:v>P0</x:v>
      </x:c>
      <x:c r="I18" s="48" t="str">
        <x:v>Backlog</x:v>
      </x:c>
      <x:c r="J18" s="48" t="str"/>
    </x:row>
    <x:row r="19">
      <x:c r="A19" s="48" t="str">
        <x:v>ADM-015</x:v>
      </x:c>
      <x:c r="B19" s="48" t="str">
        <x:v>Career CMS</x:v>
      </x:c>
      <x:c r="C19" s="48" t="str">
        <x:v>Career Manager</x:v>
      </x:c>
      <x:c r="D19" s="48" t="str">
        <x:v>/admin/careers</x:v>
      </x:c>
      <x:c r="E19" s="48" t="str">
        <x:v>Manage career explorer pages.</x:v>
      </x:c>
      <x:c r="F19" s="48" t="str">
        <x:v>Role summary; responsibilities; salary/source fields; skills; tools; roadmap; projects; jobs; FAQs; SEO; publish.</x:v>
      </x:c>
      <x:c r="G19" s="48" t="str">
        <x:v>Editor/Reviewer/Admin</x:v>
      </x:c>
      <x:c r="H19" s="48" t="str">
        <x:v>P1</x:v>
      </x:c>
      <x:c r="I19" s="48" t="str">
        <x:v>Backlog</x:v>
      </x:c>
      <x:c r="J19" s="48" t="str"/>
    </x:row>
    <x:row r="20">
      <x:c r="A20" s="48" t="str">
        <x:v>ADM-016</x:v>
      </x:c>
      <x:c r="B20" s="48" t="str">
        <x:v>Project CMS</x:v>
      </x:c>
      <x:c r="C20" s="48" t="str">
        <x:v>Project Manager</x:v>
      </x:c>
      <x:c r="D20" s="48" t="str">
        <x:v>/admin/projects</x:v>
      </x:c>
      <x:c r="E20" s="48" t="str">
        <x:v>Manage project catalog and detail pages.</x:v>
      </x:c>
      <x:c r="F20" s="48" t="str">
        <x:v>Project metadata; problem; deliverables; skills; careers; difficulty; duration; rubric; assets; related projects; SEO; publish.</x:v>
      </x:c>
      <x:c r="G20" s="48" t="str">
        <x:v>Editor/Reviewer/Admin</x:v>
      </x:c>
      <x:c r="H20" s="48" t="str">
        <x:v>P1</x:v>
      </x:c>
      <x:c r="I20" s="48" t="str">
        <x:v>Backlog</x:v>
      </x:c>
      <x:c r="J20" s="48" t="str"/>
    </x:row>
    <x:row r="21">
      <x:c r="A21" s="48" t="str">
        <x:v>ADM-017</x:v>
      </x:c>
      <x:c r="B21" s="48" t="str">
        <x:v>Case Study CMS</x:v>
      </x:c>
      <x:c r="C21" s="48" t="str">
        <x:v>Case Study Manager</x:v>
      </x:c>
      <x:c r="D21" s="48" t="str">
        <x:v>/admin/case-studies</x:v>
      </x:c>
      <x:c r="E21" s="48" t="str">
        <x:v>Manage student/college/enterprise proof.</x:v>
      </x:c>
      <x:c r="F21" s="48" t="str">
        <x:v>Audience; customer; challenge; implementation; metrics; quote; video/images; related solutions; SEO; publish.</x:v>
      </x:c>
      <x:c r="G21" s="48" t="str">
        <x:v>Editor/Reviewer/Admin</x:v>
      </x:c>
      <x:c r="H21" s="48" t="str">
        <x:v>P1</x:v>
      </x:c>
      <x:c r="I21" s="48" t="str">
        <x:v>Backlog</x:v>
      </x:c>
      <x:c r="J21" s="48" t="str"/>
    </x:row>
    <x:row r="22">
      <x:c r="A22" s="48" t="str">
        <x:v>ADM-018</x:v>
      </x:c>
      <x:c r="B22" s="48" t="str">
        <x:v>Campaign CMS</x:v>
      </x:c>
      <x:c r="C22" s="48" t="str">
        <x:v>Landing Page Builder</x:v>
      </x:c>
      <x:c r="D22" s="48" t="str">
        <x:v>/admin/campaigns</x:v>
      </x:c>
      <x:c r="E22" s="48" t="str">
        <x:v>Launch campaign pages without code changes.</x:v>
      </x:c>
      <x:c r="F22" s="48" t="str">
        <x:v>Section-based builder; forms; CTA links; UTM settings; hero/media; proof; FAQ; publish dates; index/noindex; preview.</x:v>
      </x:c>
      <x:c r="G22" s="48" t="str">
        <x:v>Marketing/Admin</x:v>
      </x:c>
      <x:c r="H22" s="48" t="str">
        <x:v>P0</x:v>
      </x:c>
      <x:c r="I22" s="48" t="str">
        <x:v>Backlog</x:v>
      </x:c>
      <x:c r="J22" s="48" t="str"/>
    </x:row>
    <x:row r="23">
      <x:c r="A23" s="48" t="str">
        <x:v>ADM-019</x:v>
      </x:c>
      <x:c r="B23" s="48" t="str">
        <x:v>Lead Admin</x:v>
      </x:c>
      <x:c r="C23" s="48" t="str">
        <x:v>Lead &amp; Form Inbox</x:v>
      </x:c>
      <x:c r="D23" s="48" t="str">
        <x:v>/admin/leads</x:v>
      </x:c>
      <x:c r="E23" s="48" t="str">
        <x:v>Make website leads operational.</x:v>
      </x:c>
      <x:c r="F23" s="48" t="str">
        <x:v>All form submissions; source/UTM; page; segment; status; owner; notes; CRM sync state; export; dedupe; spam state.</x:v>
      </x:c>
      <x:c r="G23" s="48" t="str">
        <x:v>Sales/Marketing/Admin</x:v>
      </x:c>
      <x:c r="H23" s="48" t="str">
        <x:v>P0</x:v>
      </x:c>
      <x:c r="I23" s="48" t="str">
        <x:v>Backlog</x:v>
      </x:c>
      <x:c r="J23" s="48" t="str"/>
    </x:row>
    <x:row r="24">
      <x:c r="A24" s="48" t="str">
        <x:v>ADM-020</x:v>
      </x:c>
      <x:c r="B24" s="48" t="str">
        <x:v>SEO Admin</x:v>
      </x:c>
      <x:c r="C24" s="48" t="str">
        <x:v>SEO &amp; Redirect Manager</x:v>
      </x:c>
      <x:c r="D24" s="48" t="str">
        <x:v>/admin/seo</x:v>
      </x:c>
      <x:c r="E24" s="48" t="str">
        <x:v>Control metadata and URL changes safely.</x:v>
      </x:c>
      <x:c r="F24" s="48" t="str">
        <x:v>SEO defaults; page overrides; canonical; robots directive; OG; sitemap inclusion; redirect rules; broken-link report.</x:v>
      </x:c>
      <x:c r="G24" s="48" t="str">
        <x:v>SEO/Admin</x:v>
      </x:c>
      <x:c r="H24" s="48" t="str">
        <x:v>P0</x:v>
      </x:c>
      <x:c r="I24" s="48" t="str">
        <x:v>Backlog</x:v>
      </x:c>
      <x:c r="J24" s="48" t="str"/>
    </x:row>
    <x:row r="25">
      <x:c r="A25" s="48" t="str">
        <x:v>ADM-021</x:v>
      </x:c>
      <x:c r="B25" s="48" t="str">
        <x:v>Media Admin</x:v>
      </x:c>
      <x:c r="C25" s="48" t="str">
        <x:v>Media Library</x:v>
      </x:c>
      <x:c r="D25" s="48" t="str">
        <x:v>/admin/media</x:v>
      </x:c>
      <x:c r="E25" s="48" t="str">
        <x:v>Centralize reusable website assets.</x:v>
      </x:c>
      <x:c r="F25" s="48" t="str">
        <x:v>Upload; folders/tags; alt text; focal point; dimensions; compression; usage references; replace/version asset.</x:v>
      </x:c>
      <x:c r="G25" s="48" t="str">
        <x:v>Editor/Admin</x:v>
      </x:c>
      <x:c r="H25" s="48" t="str">
        <x:v>P0</x:v>
      </x:c>
      <x:c r="I25" s="48" t="str">
        <x:v>Backlog</x:v>
      </x:c>
      <x:c r="J25" s="48" t="str"/>
    </x:row>
    <x:row r="26">
      <x:c r="A26" s="48" t="str">
        <x:v>ADM-022</x:v>
      </x:c>
      <x:c r="B26" s="48" t="str">
        <x:v>Navigation Admin</x:v>
      </x:c>
      <x:c r="C26" s="48" t="str">
        <x:v>Navigation &amp; Footer</x:v>
      </x:c>
      <x:c r="D26" s="48" t="str">
        <x:v>/admin/navigation</x:v>
      </x:c>
      <x:c r="E26" s="48" t="str">
        <x:v>Change site navigation without deployments.</x:v>
      </x:c>
      <x:c r="F26" s="48" t="str">
        <x:v>Header groups; footer groups; ordering; labels; links; audience CTA; draft/preview/publish.</x:v>
      </x:c>
      <x:c r="G26" s="48" t="str">
        <x:v>Admin/Marketing</x:v>
      </x:c>
      <x:c r="H26" s="48" t="str">
        <x:v>P1</x:v>
      </x:c>
      <x:c r="I26" s="48" t="str">
        <x:v>Backlog</x:v>
      </x:c>
      <x:c r="J26" s="48" t="str"/>
    </x:row>
    <x:row r="27">
      <x:c r="A27" s="48" t="str">
        <x:v>ADM-023</x:v>
      </x:c>
      <x:c r="B27" s="48" t="str">
        <x:v>Trust Admin</x:v>
      </x:c>
      <x:c r="C27" s="48" t="str">
        <x:v>Trust Center Manager</x:v>
      </x:c>
      <x:c r="D27" s="48" t="str">
        <x:v>/admin/trust</x:v>
      </x:c>
      <x:c r="E27" s="48" t="str">
        <x:v>Keep security/procurement information current.</x:v>
      </x:c>
      <x:c r="F27" s="48" t="str">
        <x:v>Security statements; documents; subprocessors; policy versions; notices; security contact; publish date.</x:v>
      </x:c>
      <x:c r="G27" s="48" t="str">
        <x:v>Security/Legal/Admin</x:v>
      </x:c>
      <x:c r="H27" s="48" t="str">
        <x:v>P1</x:v>
      </x:c>
      <x:c r="I27" s="48" t="str">
        <x:v>Backlog</x:v>
      </x:c>
      <x:c r="J27" s="48" t="str"/>
    </x:row>
    <x:row r="28">
      <x:c r="A28" s="48" t="str">
        <x:v>ADM-024</x:v>
      </x:c>
      <x:c r="B28" s="48" t="str">
        <x:v>Legal Admin</x:v>
      </x:c>
      <x:c r="C28" s="48" t="str">
        <x:v>Legal Document Manager</x:v>
      </x:c>
      <x:c r="D28" s="48" t="str">
        <x:v>/admin/legal</x:v>
      </x:c>
      <x:c r="E28" s="48" t="str">
        <x:v>Version policies and legal terms.</x:v>
      </x:c>
      <x:c r="F28" s="48" t="str">
        <x:v>Rich document; effective date; previous versions; publish; downloadable copy; mandatory review/approval.</x:v>
      </x:c>
      <x:c r="G28" s="48" t="str">
        <x:v>Legal/Admin only</x:v>
      </x:c>
      <x:c r="H28" s="48" t="str">
        <x:v>P1</x:v>
      </x:c>
      <x:c r="I28" s="48" t="str">
        <x:v>Backlog</x:v>
      </x:c>
      <x:c r="J28" s="48" t="str"/>
    </x:row>
    <x:row r="29">
      <x:c r="A29" s="48" t="str">
        <x:v>ADM-025</x:v>
      </x:c>
      <x:c r="B29" s="48" t="str">
        <x:v>Admin Governance</x:v>
      </x:c>
      <x:c r="C29" s="48" t="str">
        <x:v>User Roles &amp; Permissions</x:v>
      </x:c>
      <x:c r="D29" s="48" t="str">
        <x:v>/admin/settings/roles</x:v>
      </x:c>
      <x:c r="E29" s="48" t="str">
        <x:v>Apply least-privilege access across CMS modules.</x:v>
      </x:c>
      <x:c r="F29" s="48" t="str">
        <x:v>Role creation; permission matrix; module/action permissions; user assignment; revoke; audit.</x:v>
      </x:c>
      <x:c r="G29" s="48" t="str">
        <x:v>Super Admin</x:v>
      </x:c>
      <x:c r="H29" s="48" t="str">
        <x:v>P0</x:v>
      </x:c>
      <x:c r="I29" s="48" t="str">
        <x:v>Backlog</x:v>
      </x:c>
      <x:c r="J29" s="48" t="str"/>
    </x:row>
    <x:row r="30">
      <x:c r="A30" s="48" t="str">
        <x:v>ADM-026</x:v>
      </x:c>
      <x:c r="B30" s="48" t="str">
        <x:v>Admin Governance</x:v>
      </x:c>
      <x:c r="C30" s="48" t="str">
        <x:v>Audit Log</x:v>
      </x:c>
      <x:c r="D30" s="48" t="str">
        <x:v>/admin/audit-log</x:v>
      </x:c>
      <x:c r="E30" s="48" t="str">
        <x:v>Provide accountability for content and configuration changes.</x:v>
      </x:c>
      <x:c r="F30" s="48" t="str">
        <x:v>Who/what/when; before/after; publish action; login/security events; filters; export; retention.</x:v>
      </x:c>
      <x:c r="G30" s="48" t="str">
        <x:v>Admin/Security read-only</x:v>
      </x:c>
      <x:c r="H30" s="48" t="str">
        <x:v>P0</x:v>
      </x:c>
      <x:c r="I30" s="48" t="str">
        <x:v>Backlog</x:v>
      </x:c>
      <x:c r="J30" s="48" t="str"/>
    </x:row>
    <x:row r="31">
      <x:c r="A31" s="48" t="str">
        <x:v>ADM-027</x:v>
      </x:c>
      <x:c r="B31" s="48" t="str">
        <x:v>Admin Governance</x:v>
      </x:c>
      <x:c r="C31" s="48" t="str">
        <x:v>Content Version History</x:v>
      </x:c>
      <x:c r="D31" s="48" t="str">
        <x:v>Built into editors</x:v>
      </x:c>
      <x:c r="E31" s="48" t="str">
        <x:v>Allow rollback and review of edits.</x:v>
      </x:c>
      <x:c r="F31" s="48" t="str">
        <x:v>Version snapshots; diff; restore; author/timestamp; notes; publish version marker.</x:v>
      </x:c>
      <x:c r="G31" s="48" t="str">
        <x:v>Editor/Reviewer/Admin</x:v>
      </x:c>
      <x:c r="H31" s="48" t="str">
        <x:v>P1</x:v>
      </x:c>
      <x:c r="I31" s="48" t="str">
        <x:v>Backlog</x:v>
      </x:c>
      <x:c r="J31" s="48" t="str"/>
    </x:row>
    <x:row r="32">
      <x:c r="A32" s="48" t="str">
        <x:v>ADM-028</x:v>
      </x:c>
      <x:c r="B32" s="48" t="str">
        <x:v>Search Admin</x:v>
      </x:c>
      <x:c r="C32" s="48" t="str">
        <x:v>Search Configuration</x:v>
      </x:c>
      <x:c r="D32" s="48" t="str">
        <x:v>/admin/search</x:v>
      </x:c>
      <x:c r="E32" s="48" t="str">
        <x:v>Control unified site search.</x:v>
      </x:c>
      <x:c r="F32" s="48" t="str">
        <x:v>Indexed content types; boosts; synonyms; stop words; pinned results; analytics; re-index.</x:v>
      </x:c>
      <x:c r="G32" s="48" t="str">
        <x:v>Admin/SEO</x:v>
      </x:c>
      <x:c r="H32" s="48" t="str">
        <x:v>P2</x:v>
      </x:c>
      <x:c r="I32" s="48" t="str">
        <x:v>Backlog</x:v>
      </x:c>
      <x:c r="J32" s="48" t="str"/>
    </x:row>
    <x:row r="33">
      <x:c r="A33" s="48" t="str">
        <x:v>ADM-029</x:v>
      </x:c>
      <x:c r="B33" s="48" t="str">
        <x:v>Cookie &amp; Consent Admin</x:v>
      </x:c>
      <x:c r="C33" s="48" t="str">
        <x:v>Consent Configuration</x:v>
      </x:c>
      <x:c r="D33" s="48" t="str">
        <x:v>/admin/consent</x:v>
      </x:c>
      <x:c r="E33" s="48" t="str">
        <x:v>Manage cookie categories and tracking behavior.</x:v>
      </x:c>
      <x:c r="F33" s="48" t="str">
        <x:v>Cookie categories; scripts; providers; purposes; retention; region rules; banner copy; policy version; consent logs.</x:v>
      </x:c>
      <x:c r="G33" s="48" t="str">
        <x:v>Privacy/Admin</x:v>
      </x:c>
      <x:c r="H33" s="48" t="str">
        <x:v>P0</x:v>
      </x:c>
      <x:c r="I33" s="48" t="str">
        <x:v>Backlog</x:v>
      </x:c>
      <x:c r="J33" s="48" t="str"/>
    </x:row>
    <x:row r="34">
      <x:c r="A34" s="48" t="str">
        <x:v>ADM-030</x:v>
      </x:c>
      <x:c r="B34" s="48" t="str">
        <x:v>Admin Operations</x:v>
      </x:c>
      <x:c r="C34" s="48" t="str">
        <x:v>Publishing Health</x:v>
      </x:c>
      <x:c r="D34" s="48" t="str">
        <x:v>/admin/health</x:v>
      </x:c>
      <x:c r="E34" s="48" t="str">
        <x:v>Detect content problems before users/search engines do.</x:v>
      </x:c>
      <x:c r="F34" s="48" t="str">
        <x:v>Broken links; missing metadata; duplicate slug; missing alt text; unpublished dependencies; sitemap errors; last crawl.</x:v>
      </x:c>
      <x:c r="G34" s="48" t="str">
        <x:v>Admin/SEO</x:v>
      </x:c>
      <x:c r="H34" s="48" t="str">
        <x:v>P1</x:v>
      </x:c>
      <x:c r="I34" s="48" t="str">
        <x:v>Backlog</x:v>
      </x:c>
      <x:c r="J34" s="48" t="str"/>
    </x:row>
  </x:sheetData>
  <x:mergeCells>
    <x:mergeCell ref="A1:J1"/>
    <x:mergeCell ref="A2:J2"/>
  </x:mergeCells>
  <x:conditionalFormatting sqref="H5:H34">
    <x:cfRule type="expression" dxfId="10" priority="1">
      <x:formula>H5="P0"</x:formula>
    </x:cfRule>
    <x:cfRule type="expression" dxfId="11" priority="2">
      <x:formula>H5="P1"</x:formula>
    </x:cfRule>
  </x:conditionalFormatting>
  <x:conditionalFormatting sqref="I5:I34">
    <x:cfRule type="expression" dxfId="12" priority="3">
      <x:formula>I5="Done"</x:formula>
    </x:cfRule>
  </x:conditionalFormatting>
  <x:dataValidations count="2">
    <x:dataValidation type="list" sqref="H5:H34">
      <x:formula1>"P0,P1,P2,P3"</x:formula1>
    </x:dataValidation>
    <x:dataValidation type="list" sqref="I5:I34">
      <x:formula1>"Backlog,Ready,In Progress,Review,Blocked,Done"</x:formula1>
    </x:dataValidation>
  </x:dataValidations>
  <x:pageMargins left="0.7" right="0.7" top="0.75" bottom="0.75" header="0.3" footer="0.3"/>
  <x:tableParts count="1">
    <x:tablePart xmlns:r="http://schemas.openxmlformats.org/officeDocument/2006/relationships" r:id="Rb23b043d0569402a"/>
  </x:tableParts>
</x:worksheet>
</file>